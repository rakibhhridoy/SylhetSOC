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rakibhhridoy/Research/SOC/data/"/>
    </mc:Choice>
  </mc:AlternateContent>
  <xr:revisionPtr revIDLastSave="0" documentId="13_ncr:9_{EC1041C3-84B8-0048-B1CA-9EC9BA61804F}" xr6:coauthVersionLast="47" xr6:coauthVersionMax="47" xr10:uidLastSave="{00000000-0000-0000-0000-000000000000}"/>
  <bookViews>
    <workbookView xWindow="0" yWindow="500" windowWidth="28800" windowHeight="17500" activeTab="5" xr2:uid="{00000000-000D-0000-FFFF-FFFF00000000}"/>
  </bookViews>
  <sheets>
    <sheet name="Sheet1" sheetId="1" r:id="rId1"/>
    <sheet name="Sheet2" sheetId="2" r:id="rId2"/>
    <sheet name="Sheet3" sheetId="3" r:id="rId3"/>
    <sheet name="Format" sheetId="4" r:id="rId4"/>
    <sheet name="Raw2" sheetId="8" r:id="rId5"/>
    <sheet name="MainPp" sheetId="10" r:id="rId6"/>
    <sheet name="MainCc" sheetId="9" r:id="rId7"/>
    <sheet name="Raw1" sheetId="7" r:id="rId8"/>
    <sheet name="Present" sheetId="5" r:id="rId9"/>
    <sheet name="Previous" sheetId="6" r:id="rId10"/>
  </sheets>
  <definedNames>
    <definedName name="_xlchart.v1.0" hidden="1">Sheet2!$A$3:$A$11</definedName>
    <definedName name="_xlchart.v1.1" hidden="1">Sheet2!$B$2</definedName>
    <definedName name="_xlchart.v1.2" hidden="1">Sheet2!$B$3:$B$11</definedName>
    <definedName name="_xlchart.v1.3" hidden="1">Sheet2!$C$2</definedName>
    <definedName name="_xlchart.v1.4" hidden="1">Sheet2!$C$3:$C$11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X30" i="1"/>
  <c r="P30" i="1"/>
  <c r="R30" i="1"/>
  <c r="T30" i="1"/>
  <c r="V30" i="1"/>
  <c r="D30" i="1"/>
  <c r="F30" i="1"/>
  <c r="H30" i="1"/>
  <c r="J30" i="1"/>
  <c r="L30" i="1"/>
  <c r="N30" i="1"/>
  <c r="B30" i="1"/>
  <c r="K39" i="1"/>
  <c r="E24" i="1"/>
  <c r="G24" i="1"/>
  <c r="I24" i="1"/>
  <c r="M24" i="1"/>
  <c r="O24" i="1"/>
  <c r="Q24" i="1"/>
  <c r="S24" i="1"/>
  <c r="C24" i="1"/>
  <c r="E23" i="1"/>
  <c r="G23" i="1"/>
  <c r="I23" i="1"/>
  <c r="K23" i="1"/>
  <c r="M23" i="1"/>
  <c r="O23" i="1"/>
  <c r="Q23" i="1"/>
  <c r="S23" i="1"/>
  <c r="E22" i="1"/>
  <c r="G22" i="1"/>
  <c r="I22" i="1"/>
  <c r="K22" i="1"/>
  <c r="K24" i="1" s="1"/>
  <c r="M22" i="1"/>
  <c r="O22" i="1"/>
  <c r="Q22" i="1"/>
  <c r="S22" i="1"/>
  <c r="C23" i="1"/>
  <c r="C22" i="1"/>
  <c r="S38" i="1"/>
  <c r="S39" i="1" s="1"/>
  <c r="S37" i="1"/>
  <c r="Q38" i="1"/>
  <c r="M37" i="1"/>
  <c r="M39" i="1" s="1"/>
  <c r="V45" i="1"/>
  <c r="X45" i="1"/>
  <c r="T45" i="1"/>
  <c r="F47" i="3"/>
  <c r="F41" i="3"/>
  <c r="F35" i="3"/>
  <c r="F28" i="3"/>
  <c r="F24" i="3"/>
  <c r="F18" i="3"/>
  <c r="F13" i="3"/>
  <c r="F8" i="3"/>
  <c r="F4" i="3"/>
  <c r="F3" i="3"/>
  <c r="F2" i="3"/>
  <c r="F46" i="3"/>
  <c r="F45" i="3"/>
  <c r="F40" i="3"/>
  <c r="F39" i="3"/>
  <c r="F34" i="3"/>
  <c r="F27" i="3"/>
  <c r="F26" i="3"/>
  <c r="F23" i="3"/>
  <c r="F22" i="3"/>
  <c r="F17" i="3"/>
  <c r="F16" i="3"/>
  <c r="F12" i="3"/>
  <c r="F11" i="3"/>
  <c r="F7" i="3"/>
  <c r="T34" i="1"/>
  <c r="V34" i="1"/>
  <c r="X34" i="1"/>
  <c r="T29" i="1"/>
  <c r="V29" i="1"/>
  <c r="X29" i="1"/>
  <c r="V39" i="1"/>
  <c r="X39" i="1"/>
  <c r="T39" i="1"/>
  <c r="T13" i="1"/>
  <c r="T18" i="1" s="1"/>
  <c r="V13" i="1"/>
  <c r="V18" i="1" s="1"/>
  <c r="X13" i="1"/>
  <c r="T12" i="1"/>
  <c r="V12" i="1"/>
  <c r="X12" i="1"/>
  <c r="X17" i="1" s="1"/>
  <c r="X6" i="1"/>
  <c r="V6" i="1"/>
  <c r="T6" i="1"/>
  <c r="L34" i="1"/>
  <c r="M34" i="1"/>
  <c r="N34" i="1"/>
  <c r="O34" i="1"/>
  <c r="P34" i="1"/>
  <c r="Q34" i="1"/>
  <c r="R34" i="1"/>
  <c r="S34" i="1"/>
  <c r="C34" i="1"/>
  <c r="D34" i="1"/>
  <c r="E34" i="1"/>
  <c r="F34" i="1"/>
  <c r="G34" i="1"/>
  <c r="H34" i="1"/>
  <c r="I34" i="1"/>
  <c r="J34" i="1"/>
  <c r="K34" i="1"/>
  <c r="B34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B29" i="1"/>
  <c r="C13" i="1"/>
  <c r="C38" i="1" s="1"/>
  <c r="D13" i="1"/>
  <c r="D18" i="1" s="1"/>
  <c r="E13" i="1"/>
  <c r="F13" i="1"/>
  <c r="F18" i="1" s="1"/>
  <c r="G13" i="1"/>
  <c r="G38" i="1" s="1"/>
  <c r="H13" i="1"/>
  <c r="H18" i="1" s="1"/>
  <c r="H19" i="1" s="1"/>
  <c r="I13" i="1"/>
  <c r="I38" i="1" s="1"/>
  <c r="J13" i="1"/>
  <c r="J18" i="1" s="1"/>
  <c r="K13" i="1"/>
  <c r="L13" i="1"/>
  <c r="L18" i="1" s="1"/>
  <c r="M13" i="1"/>
  <c r="M38" i="1" s="1"/>
  <c r="N13" i="1"/>
  <c r="N18" i="1" s="1"/>
  <c r="O13" i="1"/>
  <c r="O38" i="1" s="1"/>
  <c r="P13" i="1"/>
  <c r="P18" i="1" s="1"/>
  <c r="Q13" i="1"/>
  <c r="R13" i="1"/>
  <c r="R18" i="1" s="1"/>
  <c r="S13" i="1"/>
  <c r="B13" i="1"/>
  <c r="B18" i="1" s="1"/>
  <c r="F12" i="1"/>
  <c r="F17" i="1" s="1"/>
  <c r="G12" i="1"/>
  <c r="G37" i="1" s="1"/>
  <c r="H12" i="1"/>
  <c r="H17" i="1" s="1"/>
  <c r="I12" i="1"/>
  <c r="I37" i="1" s="1"/>
  <c r="J12" i="1"/>
  <c r="J17" i="1" s="1"/>
  <c r="K12" i="1"/>
  <c r="L12" i="1"/>
  <c r="L17" i="1" s="1"/>
  <c r="M12" i="1"/>
  <c r="N12" i="1"/>
  <c r="N17" i="1" s="1"/>
  <c r="O12" i="1"/>
  <c r="O37" i="1" s="1"/>
  <c r="P12" i="1"/>
  <c r="P17" i="1" s="1"/>
  <c r="Q12" i="1"/>
  <c r="Q37" i="1" s="1"/>
  <c r="Q39" i="1" s="1"/>
  <c r="R12" i="1"/>
  <c r="R17" i="1" s="1"/>
  <c r="S12" i="1"/>
  <c r="C12" i="1"/>
  <c r="C37" i="1" s="1"/>
  <c r="D12" i="1"/>
  <c r="D17" i="1" s="1"/>
  <c r="E12" i="1"/>
  <c r="E37" i="1" s="1"/>
  <c r="B12" i="1"/>
  <c r="B17" i="1" s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B6" i="1"/>
  <c r="O39" i="1" l="1"/>
  <c r="V14" i="1"/>
  <c r="T14" i="1"/>
  <c r="C39" i="1"/>
  <c r="E38" i="1"/>
  <c r="E39" i="1"/>
  <c r="I39" i="1"/>
  <c r="G39" i="1"/>
  <c r="T17" i="1"/>
  <c r="T19" i="1" s="1"/>
  <c r="X14" i="1"/>
  <c r="V17" i="1"/>
  <c r="V19" i="1" s="1"/>
  <c r="L19" i="1"/>
  <c r="X18" i="1"/>
  <c r="X19" i="1" s="1"/>
  <c r="B19" i="1"/>
  <c r="D19" i="1"/>
  <c r="N19" i="1"/>
  <c r="F19" i="1"/>
  <c r="P19" i="1"/>
  <c r="I14" i="1"/>
  <c r="Q14" i="1"/>
  <c r="J19" i="1"/>
  <c r="R19" i="1"/>
  <c r="P14" i="1"/>
  <c r="H14" i="1"/>
  <c r="F14" i="1"/>
  <c r="B14" i="1"/>
  <c r="L14" i="1"/>
  <c r="D14" i="1"/>
  <c r="G14" i="1"/>
  <c r="C14" i="1"/>
  <c r="O14" i="1"/>
  <c r="N14" i="1"/>
  <c r="M14" i="1"/>
  <c r="E14" i="1"/>
  <c r="S14" i="1"/>
  <c r="K14" i="1"/>
  <c r="R14" i="1"/>
  <c r="J14" i="1"/>
</calcChain>
</file>

<file path=xl/sharedStrings.xml><?xml version="1.0" encoding="utf-8"?>
<sst xmlns="http://schemas.openxmlformats.org/spreadsheetml/2006/main" count="523" uniqueCount="147">
  <si>
    <t>Soil pH</t>
  </si>
  <si>
    <t>Ajmiriganj</t>
  </si>
  <si>
    <t>Balaganj</t>
  </si>
  <si>
    <t>Goaninghat</t>
  </si>
  <si>
    <t>Hakaluki</t>
  </si>
  <si>
    <t>Kanairghat</t>
  </si>
  <si>
    <t>Phagu</t>
  </si>
  <si>
    <t>Sarail</t>
  </si>
  <si>
    <t>Sulla</t>
  </si>
  <si>
    <t>Terchibari</t>
  </si>
  <si>
    <t>Present</t>
  </si>
  <si>
    <t>Previous</t>
  </si>
  <si>
    <t>Depth(topsoil(30cm) and subsoil(100cm)</t>
  </si>
  <si>
    <t>Topsoil</t>
  </si>
  <si>
    <t>Subsoil</t>
  </si>
  <si>
    <t>SOC</t>
  </si>
  <si>
    <t>Total Nitrogen</t>
  </si>
  <si>
    <t>Clay %</t>
  </si>
  <si>
    <t>Bulk Density (g/cc)</t>
  </si>
  <si>
    <t>o</t>
  </si>
  <si>
    <t>Average</t>
  </si>
  <si>
    <t>Topsoil (%)</t>
  </si>
  <si>
    <t>Subsoil (%)</t>
  </si>
  <si>
    <t>SOCi(stock-T)</t>
  </si>
  <si>
    <t>SOCi(stock-S)</t>
  </si>
  <si>
    <t xml:space="preserve">Name of Series </t>
  </si>
  <si>
    <t>Topsoil (0-30cm)</t>
  </si>
  <si>
    <t>Subsoil (30-100cm)</t>
  </si>
  <si>
    <t>Percentage</t>
  </si>
  <si>
    <t>Almiraganj</t>
  </si>
  <si>
    <t>SOC content Present (g/kg)</t>
  </si>
  <si>
    <t>Topsoil (g/kg) Content</t>
  </si>
  <si>
    <t>Subsoil (g/kg) Content</t>
  </si>
  <si>
    <t>SOC(T) Content</t>
  </si>
  <si>
    <t>SOC Stock Total</t>
  </si>
  <si>
    <t>SOC content Previous (g/kg)</t>
  </si>
  <si>
    <t>Zakiganj</t>
  </si>
  <si>
    <t xml:space="preserve">Present </t>
  </si>
  <si>
    <t>Kulaura</t>
  </si>
  <si>
    <t>BRRI Site</t>
  </si>
  <si>
    <t>CEC (meq/100g)</t>
  </si>
  <si>
    <t>Soil Profile</t>
  </si>
  <si>
    <t>Textural class</t>
  </si>
  <si>
    <t>CEC meq/100g</t>
  </si>
  <si>
    <t>Hakaluki Apg1</t>
  </si>
  <si>
    <t>Silty clay loam</t>
  </si>
  <si>
    <t>Hakaluki Apg2</t>
  </si>
  <si>
    <t>Hakaluki Apg3</t>
  </si>
  <si>
    <t>Hakaluki Apg4</t>
  </si>
  <si>
    <t>Silty loam</t>
  </si>
  <si>
    <t>Azmiriganj Apg</t>
  </si>
  <si>
    <t>Silty clay</t>
  </si>
  <si>
    <t>Azmiriganj B21g</t>
  </si>
  <si>
    <t>Clay</t>
  </si>
  <si>
    <t>Azmiriganj B22g</t>
  </si>
  <si>
    <t>Azmiriganj B3g</t>
  </si>
  <si>
    <t>Azmiriganj IIC</t>
  </si>
  <si>
    <t>Sulla Apg1</t>
  </si>
  <si>
    <t>Silt loam</t>
  </si>
  <si>
    <t>Sulla Apg2</t>
  </si>
  <si>
    <t>Sulla C1g</t>
  </si>
  <si>
    <t>Sulla C2g</t>
  </si>
  <si>
    <t>Sulla C3g</t>
  </si>
  <si>
    <t>Balaganj Ap1</t>
  </si>
  <si>
    <t>Balaganj 21g</t>
  </si>
  <si>
    <t>Balaganj 22g</t>
  </si>
  <si>
    <t>Balaganj 23g</t>
  </si>
  <si>
    <t>Balaganj B3</t>
  </si>
  <si>
    <t>Balaganj C1</t>
  </si>
  <si>
    <t>Sarail Apg1</t>
  </si>
  <si>
    <t>Sarail A1g</t>
  </si>
  <si>
    <t>Sarail IIC 21g</t>
  </si>
  <si>
    <t>Sarail IIC 22g</t>
  </si>
  <si>
    <t>Kanairghat A1g</t>
  </si>
  <si>
    <t>Kanairghat A2g</t>
  </si>
  <si>
    <t>Kanairghat B21g</t>
  </si>
  <si>
    <t>Kanairghat B22g</t>
  </si>
  <si>
    <t>Kanairghat B3g</t>
  </si>
  <si>
    <t>Kanairghat IIC1g</t>
  </si>
  <si>
    <t>Kanairghat IIC2g</t>
  </si>
  <si>
    <t>Terchibari Apg</t>
  </si>
  <si>
    <t>Terchibari B21g</t>
  </si>
  <si>
    <t>Terchibari IIC1g</t>
  </si>
  <si>
    <t>Terchibari IIC2g</t>
  </si>
  <si>
    <t>Terchibari IIC3g</t>
  </si>
  <si>
    <t>Terchibari IIC4g</t>
  </si>
  <si>
    <t>Gowainghat Apg1</t>
  </si>
  <si>
    <t>Gowainghat Apg2</t>
  </si>
  <si>
    <t>Gowainghat B21g</t>
  </si>
  <si>
    <t>Gowainghat B22g</t>
  </si>
  <si>
    <t>Gowainghat C1g</t>
  </si>
  <si>
    <t>Gowainghat C2g</t>
  </si>
  <si>
    <t>Phagu 1</t>
  </si>
  <si>
    <t>Phagu 2</t>
  </si>
  <si>
    <t>Phagu 3</t>
  </si>
  <si>
    <t>Phagu 4</t>
  </si>
  <si>
    <t>Phagu 5</t>
  </si>
  <si>
    <t>topsoil</t>
  </si>
  <si>
    <t>Azmiriganj</t>
  </si>
  <si>
    <t>Gowainghat</t>
  </si>
  <si>
    <t>clay vs cec</t>
  </si>
  <si>
    <t>PRESENT</t>
  </si>
  <si>
    <t>PREVIOUS</t>
  </si>
  <si>
    <t>Location</t>
  </si>
  <si>
    <t>Var</t>
  </si>
  <si>
    <t>Present </t>
  </si>
  <si>
    <t>pH</t>
  </si>
  <si>
    <t>TN</t>
  </si>
  <si>
    <t>SBD</t>
  </si>
  <si>
    <t>CEC</t>
  </si>
  <si>
    <t>SOCi</t>
  </si>
  <si>
    <t>SOC%</t>
  </si>
  <si>
    <t>SOC(g/kg)</t>
  </si>
  <si>
    <t>pHT</t>
  </si>
  <si>
    <t>pHS</t>
  </si>
  <si>
    <t>TNT</t>
  </si>
  <si>
    <t>TNS</t>
  </si>
  <si>
    <t>ClayT</t>
  </si>
  <si>
    <t>ClayS</t>
  </si>
  <si>
    <t>SBDT</t>
  </si>
  <si>
    <t>SBDS</t>
  </si>
  <si>
    <t>SOCtotal</t>
  </si>
  <si>
    <t>SOCiT</t>
  </si>
  <si>
    <t>SOCiS</t>
  </si>
  <si>
    <t>Stock</t>
  </si>
  <si>
    <t>CECT</t>
  </si>
  <si>
    <t>CECS</t>
  </si>
  <si>
    <t>Goainghat</t>
  </si>
  <si>
    <t>Duration</t>
  </si>
  <si>
    <t>SOCCT</t>
  </si>
  <si>
    <t>SOCCS</t>
  </si>
  <si>
    <t>SOCMT</t>
  </si>
  <si>
    <t>SOCMS</t>
  </si>
  <si>
    <t>SOCT</t>
  </si>
  <si>
    <t>SOC%T</t>
  </si>
  <si>
    <t>SOC%S</t>
  </si>
  <si>
    <t>SOCwT</t>
  </si>
  <si>
    <t>SOCwS</t>
  </si>
  <si>
    <t>Latitude</t>
  </si>
  <si>
    <t>Longitude</t>
  </si>
  <si>
    <t>LandUse</t>
  </si>
  <si>
    <t>Irrigated Boro-Fallow</t>
  </si>
  <si>
    <t>Jute-T Aman-Fallow/Rabi Crops</t>
  </si>
  <si>
    <t>Rabi Crops-Fallow</t>
  </si>
  <si>
    <t>Boro-Fallow</t>
  </si>
  <si>
    <t>Grassland</t>
  </si>
  <si>
    <t>Irrigated 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</si>
</sst>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164" fontId="0" fillId="3" borderId="0" xfId="0" applyNumberFormat="1" applyFill="1"/>
    <xf numFmtId="164" fontId="0" fillId="3" borderId="5" xfId="0" applyNumberFormat="1" applyFill="1" applyBorder="1"/>
    <xf numFmtId="0" fontId="4" fillId="0" borderId="0" xfId="0" applyFont="1"/>
    <xf numFmtId="0" fontId="5" fillId="0" borderId="0" xfId="0" applyFont="1"/>
    <xf numFmtId="0" fontId="0" fillId="0" borderId="2" xfId="0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7" fillId="0" borderId="0" xfId="0" applyFont="1"/>
    <xf numFmtId="2" fontId="7" fillId="0" borderId="0" xfId="0" applyNumberFormat="1" applyFont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0" fontId="8" fillId="0" borderId="0" xfId="0" applyFont="1"/>
    <xf numFmtId="0" fontId="5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9" fillId="0" borderId="0" xfId="0" applyFont="1"/>
    <xf numFmtId="0" fontId="11" fillId="0" borderId="2" xfId="0" applyFont="1" applyBorder="1" applyAlignment="1">
      <alignment horizontal="center"/>
    </xf>
    <xf numFmtId="0" fontId="11" fillId="0" borderId="0" xfId="0" applyFont="1"/>
    <xf numFmtId="0" fontId="10" fillId="0" borderId="2" xfId="0" applyFont="1" applyBorder="1" applyAlignment="1"/>
    <xf numFmtId="0" fontId="11" fillId="0" borderId="4" xfId="0" applyFont="1" applyBorder="1" applyAlignment="1">
      <alignment horizontal="center"/>
    </xf>
    <xf numFmtId="0" fontId="11" fillId="0" borderId="2" xfId="0" applyFont="1" applyBorder="1" applyAlignment="1"/>
    <xf numFmtId="0" fontId="11" fillId="0" borderId="0" xfId="0" applyFont="1" applyBorder="1" applyAlignment="1"/>
    <xf numFmtId="0" fontId="1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SOC content Present (g/kg)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Topsoil (0-30cm)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Sheet2!$A$3:$A$11</c:f>
              <c:strCache>
                <c:ptCount val="9"/>
                <c:pt idx="0">
                  <c:v>Almiraganj</c:v>
                </c:pt>
                <c:pt idx="1">
                  <c:v>Balaganj</c:v>
                </c:pt>
                <c:pt idx="2">
                  <c:v>Goaninghat</c:v>
                </c:pt>
                <c:pt idx="3">
                  <c:v>Hakaluki</c:v>
                </c:pt>
                <c:pt idx="4">
                  <c:v>Kanairghat</c:v>
                </c:pt>
                <c:pt idx="5">
                  <c:v>Phagu</c:v>
                </c:pt>
                <c:pt idx="6">
                  <c:v>Sarail</c:v>
                </c:pt>
                <c:pt idx="7">
                  <c:v>Sulla</c:v>
                </c:pt>
                <c:pt idx="8">
                  <c:v>Terchibari</c:v>
                </c:pt>
              </c:strCache>
            </c:strRef>
          </c:cat>
          <c:val>
            <c:numRef>
              <c:f>Sheet2!$B$3:$B$11</c:f>
              <c:numCache>
                <c:formatCode>General</c:formatCode>
                <c:ptCount val="9"/>
                <c:pt idx="0">
                  <c:v>26.3</c:v>
                </c:pt>
                <c:pt idx="1">
                  <c:v>9.6</c:v>
                </c:pt>
                <c:pt idx="2">
                  <c:v>11</c:v>
                </c:pt>
                <c:pt idx="3">
                  <c:v>13.25</c:v>
                </c:pt>
                <c:pt idx="4">
                  <c:v>12.2</c:v>
                </c:pt>
                <c:pt idx="5">
                  <c:v>6.35</c:v>
                </c:pt>
                <c:pt idx="6">
                  <c:v>10.35</c:v>
                </c:pt>
                <c:pt idx="7">
                  <c:v>14.25</c:v>
                </c:pt>
                <c:pt idx="8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E-C142-92BD-B730A4CE2042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Subsoil (30-100cm)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Sheet2!$A$3:$A$11</c:f>
              <c:strCache>
                <c:ptCount val="9"/>
                <c:pt idx="0">
                  <c:v>Almiraganj</c:v>
                </c:pt>
                <c:pt idx="1">
                  <c:v>Balaganj</c:v>
                </c:pt>
                <c:pt idx="2">
                  <c:v>Goaninghat</c:v>
                </c:pt>
                <c:pt idx="3">
                  <c:v>Hakaluki</c:v>
                </c:pt>
                <c:pt idx="4">
                  <c:v>Kanairghat</c:v>
                </c:pt>
                <c:pt idx="5">
                  <c:v>Phagu</c:v>
                </c:pt>
                <c:pt idx="6">
                  <c:v>Sarail</c:v>
                </c:pt>
                <c:pt idx="7">
                  <c:v>Sulla</c:v>
                </c:pt>
                <c:pt idx="8">
                  <c:v>Terchibari</c:v>
                </c:pt>
              </c:strCache>
            </c:strRef>
          </c:cat>
          <c:val>
            <c:numRef>
              <c:f>Sheet2!$C$3:$C$11</c:f>
              <c:numCache>
                <c:formatCode>General</c:formatCode>
                <c:ptCount val="9"/>
                <c:pt idx="0">
                  <c:v>18.329999999999998</c:v>
                </c:pt>
                <c:pt idx="1">
                  <c:v>6.3</c:v>
                </c:pt>
                <c:pt idx="2">
                  <c:v>8.3699999999999992</c:v>
                </c:pt>
                <c:pt idx="3">
                  <c:v>3.45</c:v>
                </c:pt>
                <c:pt idx="4">
                  <c:v>6.17</c:v>
                </c:pt>
                <c:pt idx="5">
                  <c:v>7.73</c:v>
                </c:pt>
                <c:pt idx="6">
                  <c:v>2.75</c:v>
                </c:pt>
                <c:pt idx="7">
                  <c:v>10.199999999999999</c:v>
                </c:pt>
                <c:pt idx="8">
                  <c:v>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CE-C142-92BD-B730A4CE2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5577984"/>
        <c:axId val="1215692592"/>
      </c:barChart>
      <c:catAx>
        <c:axId val="1215577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92592"/>
        <c:crosses val="autoZero"/>
        <c:auto val="1"/>
        <c:lblAlgn val="ctr"/>
        <c:lblOffset val="100"/>
        <c:noMultiLvlLbl val="0"/>
      </c:catAx>
      <c:valAx>
        <c:axId val="121569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7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Chart Title</a:t>
          </a:r>
        </a:p>
      </cx:txPr>
    </cx:title>
    <cx:plotArea>
      <cx:plotAreaRegion>
        <cx:series layoutId="boxWhisker" uniqueId="{592F42E8-6980-094A-9BBD-F8825D313F9C}">
          <cx:tx>
            <cx:txData>
              <cx:f>_xlchart.v1.1</cx:f>
              <cx:v>Topsoil (0-30cm)</cx:v>
            </cx:txData>
          </cx:tx>
          <cx:dataId val="0"/>
          <cx:layoutPr>
            <cx:statistics quartileMethod="exclusive"/>
          </cx:layoutPr>
        </cx:series>
        <cx:series layoutId="boxWhisker" uniqueId="{46896A91-99BB-B645-A23B-6DB471100F7A}">
          <cx:tx>
            <cx:txData>
              <cx:f>_xlchart.v1.3</cx:f>
              <cx:v>Subsoil (30-100cm)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462252</xdr:colOff>
      <xdr:row>1</xdr:row>
      <xdr:rowOff>110065</xdr:rowOff>
    </xdr:from>
    <xdr:to>
      <xdr:col>13</xdr:col>
      <xdr:colOff>102418</xdr:colOff>
      <xdr:row>19</xdr:row>
      <xdr:rowOff>34140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6C76841-A664-86F3-DE12-20C75B7FB1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2152" y="300565"/>
              <a:ext cx="4593166" cy="3353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114027</xdr:colOff>
      <xdr:row>20</xdr:row>
      <xdr:rowOff>171518</xdr:rowOff>
    </xdr:from>
    <xdr:to>
      <xdr:col>10</xdr:col>
      <xdr:colOff>555113</xdr:colOff>
      <xdr:row>35</xdr:row>
      <xdr:rowOff>46976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76F031-488E-CEE3-2053-3A4EFE313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5"/>
  <sheetViews>
    <sheetView zoomScaleNormal="100" workbookViewId="0">
      <selection activeCell="G14" sqref="G14"/>
    </sheetView>
  </sheetViews>
  <sheetFormatPr baseColWidth="10" defaultColWidth="8.83203125" defaultRowHeight="15" x14ac:dyDescent="0.2"/>
  <cols>
    <col min="1" max="1" width="48" customWidth="1"/>
  </cols>
  <sheetData>
    <row r="1" spans="1:25" ht="19" x14ac:dyDescent="0.25">
      <c r="A1" s="1" t="s">
        <v>19</v>
      </c>
      <c r="B1" s="1"/>
      <c r="C1" s="1"/>
      <c r="D1" s="26" t="s">
        <v>0</v>
      </c>
      <c r="E1" s="27"/>
      <c r="F1" s="27"/>
      <c r="G1" s="2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9"/>
      <c r="T1" s="10"/>
      <c r="U1" s="10"/>
      <c r="V1" s="10"/>
      <c r="W1" s="10"/>
      <c r="X1" s="10"/>
      <c r="Y1" s="10"/>
    </row>
    <row r="2" spans="1:25" ht="16" x14ac:dyDescent="0.2">
      <c r="A2" s="2" t="s">
        <v>12</v>
      </c>
      <c r="B2" s="22" t="s">
        <v>1</v>
      </c>
      <c r="C2" s="22"/>
      <c r="D2" s="22" t="s">
        <v>2</v>
      </c>
      <c r="E2" s="22"/>
      <c r="F2" s="22" t="s">
        <v>3</v>
      </c>
      <c r="G2" s="22"/>
      <c r="H2" s="22" t="s">
        <v>4</v>
      </c>
      <c r="I2" s="22"/>
      <c r="J2" s="22" t="s">
        <v>5</v>
      </c>
      <c r="K2" s="22"/>
      <c r="L2" s="22" t="s">
        <v>6</v>
      </c>
      <c r="M2" s="22"/>
      <c r="N2" s="22" t="s">
        <v>7</v>
      </c>
      <c r="O2" s="22"/>
      <c r="P2" s="22" t="s">
        <v>8</v>
      </c>
      <c r="Q2" s="22"/>
      <c r="R2" s="22" t="s">
        <v>9</v>
      </c>
      <c r="S2" s="23"/>
      <c r="T2" s="18" t="s">
        <v>36</v>
      </c>
      <c r="U2" s="18"/>
      <c r="V2" s="18" t="s">
        <v>38</v>
      </c>
      <c r="W2" s="18"/>
      <c r="X2" s="18" t="s">
        <v>39</v>
      </c>
      <c r="Y2" s="18"/>
    </row>
    <row r="3" spans="1:25" x14ac:dyDescent="0.2">
      <c r="A3" s="1"/>
      <c r="B3" s="1" t="s">
        <v>10</v>
      </c>
      <c r="C3" s="1" t="s">
        <v>11</v>
      </c>
      <c r="D3" s="1" t="s">
        <v>10</v>
      </c>
      <c r="E3" s="1" t="s">
        <v>11</v>
      </c>
      <c r="F3" s="1" t="s">
        <v>10</v>
      </c>
      <c r="G3" s="1" t="s">
        <v>11</v>
      </c>
      <c r="H3" s="1" t="s">
        <v>10</v>
      </c>
      <c r="I3" s="1" t="s">
        <v>11</v>
      </c>
      <c r="J3" s="1" t="s">
        <v>10</v>
      </c>
      <c r="K3" s="1" t="s">
        <v>11</v>
      </c>
      <c r="L3" s="1" t="s">
        <v>10</v>
      </c>
      <c r="M3" s="1" t="s">
        <v>11</v>
      </c>
      <c r="N3" s="1" t="s">
        <v>10</v>
      </c>
      <c r="O3" s="1" t="s">
        <v>11</v>
      </c>
      <c r="P3" s="1" t="s">
        <v>10</v>
      </c>
      <c r="Q3" s="1" t="s">
        <v>11</v>
      </c>
      <c r="R3" s="1" t="s">
        <v>10</v>
      </c>
      <c r="S3" s="1" t="s">
        <v>11</v>
      </c>
      <c r="T3" s="1" t="s">
        <v>37</v>
      </c>
      <c r="U3" s="1" t="s">
        <v>11</v>
      </c>
      <c r="V3" s="1" t="s">
        <v>10</v>
      </c>
      <c r="W3" s="1" t="s">
        <v>11</v>
      </c>
      <c r="X3" s="1" t="s">
        <v>37</v>
      </c>
      <c r="Y3" s="1" t="s">
        <v>11</v>
      </c>
    </row>
    <row r="4" spans="1:25" x14ac:dyDescent="0.2">
      <c r="A4" t="s">
        <v>13</v>
      </c>
      <c r="B4" s="3">
        <v>4.0949999999999998</v>
      </c>
      <c r="C4" s="3">
        <v>4.8</v>
      </c>
      <c r="D4" s="3">
        <v>5.3849999999999998</v>
      </c>
      <c r="E4" s="3">
        <v>5.1749999999999998</v>
      </c>
      <c r="F4" s="3">
        <v>5.8599999999999994</v>
      </c>
      <c r="G4" s="3">
        <v>5.25</v>
      </c>
      <c r="H4" s="3">
        <v>4.335</v>
      </c>
      <c r="I4" s="3">
        <v>5.6</v>
      </c>
      <c r="J4" s="3">
        <v>4.0150000000000006</v>
      </c>
      <c r="K4" s="3">
        <v>4.4000000000000004</v>
      </c>
      <c r="L4" s="3">
        <v>5.2450000000000001</v>
      </c>
      <c r="M4" s="3">
        <v>4.7</v>
      </c>
      <c r="N4" s="3">
        <v>4.1900000000000004</v>
      </c>
      <c r="O4" s="3">
        <v>4.1500000000000004</v>
      </c>
      <c r="P4" s="3">
        <v>4.3100000000000005</v>
      </c>
      <c r="Q4" s="3">
        <v>4.8</v>
      </c>
      <c r="R4" s="3">
        <v>5.24</v>
      </c>
      <c r="S4" s="3">
        <v>5.0500000000000007</v>
      </c>
      <c r="T4" s="3">
        <v>5.08</v>
      </c>
      <c r="V4" s="3">
        <v>5.6</v>
      </c>
      <c r="X4" s="3">
        <v>6.86</v>
      </c>
    </row>
    <row r="5" spans="1:25" x14ac:dyDescent="0.2">
      <c r="A5" t="s">
        <v>14</v>
      </c>
      <c r="B5" s="3">
        <v>3.973333333333334</v>
      </c>
      <c r="C5" s="3">
        <v>5.4</v>
      </c>
      <c r="D5" s="3">
        <v>6.1366666666666667</v>
      </c>
      <c r="E5" s="3">
        <v>5.2833333333333332</v>
      </c>
      <c r="F5" s="3">
        <v>6.543333333333333</v>
      </c>
      <c r="G5" s="3">
        <v>5.7333333333333334</v>
      </c>
      <c r="H5" s="3">
        <v>5.2750000000000004</v>
      </c>
      <c r="I5" s="3">
        <v>0</v>
      </c>
      <c r="J5" s="3">
        <v>5.5433333333333339</v>
      </c>
      <c r="K5" s="3">
        <v>5.7333333333333343</v>
      </c>
      <c r="L5" s="3">
        <v>5.833333333333333</v>
      </c>
      <c r="M5" s="3">
        <v>6.7</v>
      </c>
      <c r="N5" s="3">
        <v>5.2200000000000006</v>
      </c>
      <c r="O5" s="3">
        <v>3.6</v>
      </c>
      <c r="P5" s="3">
        <v>5.2700000000000005</v>
      </c>
      <c r="Q5" s="3">
        <v>4.7666666666666666</v>
      </c>
      <c r="R5" s="3">
        <v>6.4666666666666659</v>
      </c>
      <c r="S5" s="3">
        <v>5.666666666666667</v>
      </c>
      <c r="T5" s="3">
        <v>4.91</v>
      </c>
      <c r="V5" s="3">
        <v>5.81</v>
      </c>
      <c r="X5" s="3">
        <v>6.67</v>
      </c>
    </row>
    <row r="6" spans="1:25" x14ac:dyDescent="0.2">
      <c r="A6" s="8" t="s">
        <v>20</v>
      </c>
      <c r="B6" s="3">
        <f>AVERAGE(B4:B5)</f>
        <v>4.0341666666666667</v>
      </c>
      <c r="C6" s="3">
        <f t="shared" ref="C6:X6" si="0">AVERAGE(C4:C5)</f>
        <v>5.0999999999999996</v>
      </c>
      <c r="D6" s="3">
        <f t="shared" si="0"/>
        <v>5.7608333333333333</v>
      </c>
      <c r="E6" s="3">
        <f t="shared" si="0"/>
        <v>5.2291666666666661</v>
      </c>
      <c r="F6" s="3">
        <f t="shared" si="0"/>
        <v>6.2016666666666662</v>
      </c>
      <c r="G6" s="3">
        <f t="shared" si="0"/>
        <v>5.4916666666666671</v>
      </c>
      <c r="H6" s="3">
        <f t="shared" si="0"/>
        <v>4.8049999999999997</v>
      </c>
      <c r="I6" s="3">
        <f t="shared" si="0"/>
        <v>2.8</v>
      </c>
      <c r="J6" s="3">
        <f t="shared" si="0"/>
        <v>4.7791666666666668</v>
      </c>
      <c r="K6" s="3">
        <f t="shared" si="0"/>
        <v>5.0666666666666673</v>
      </c>
      <c r="L6" s="3">
        <f t="shared" si="0"/>
        <v>5.5391666666666666</v>
      </c>
      <c r="M6" s="3">
        <f t="shared" si="0"/>
        <v>5.7</v>
      </c>
      <c r="N6" s="3">
        <f t="shared" si="0"/>
        <v>4.7050000000000001</v>
      </c>
      <c r="O6" s="3">
        <f t="shared" si="0"/>
        <v>3.875</v>
      </c>
      <c r="P6" s="3">
        <f t="shared" si="0"/>
        <v>4.7900000000000009</v>
      </c>
      <c r="Q6" s="3">
        <f t="shared" si="0"/>
        <v>4.7833333333333332</v>
      </c>
      <c r="R6" s="3">
        <f t="shared" si="0"/>
        <v>5.8533333333333335</v>
      </c>
      <c r="S6" s="3">
        <f t="shared" si="0"/>
        <v>5.3583333333333343</v>
      </c>
      <c r="T6" s="3">
        <f t="shared" si="0"/>
        <v>4.9950000000000001</v>
      </c>
      <c r="U6" s="3"/>
      <c r="V6" s="3">
        <f t="shared" si="0"/>
        <v>5.7050000000000001</v>
      </c>
      <c r="W6" s="3"/>
      <c r="X6" s="3">
        <f t="shared" si="0"/>
        <v>6.7650000000000006</v>
      </c>
    </row>
    <row r="8" spans="1:25" ht="19" x14ac:dyDescent="0.25">
      <c r="A8" s="1"/>
      <c r="B8" s="1"/>
      <c r="C8" s="1"/>
      <c r="D8" s="19" t="s">
        <v>15</v>
      </c>
      <c r="E8" s="20"/>
      <c r="F8" s="20"/>
      <c r="G8" s="2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0"/>
      <c r="U8" s="10"/>
      <c r="V8" s="10"/>
      <c r="W8" s="10"/>
      <c r="X8" s="10"/>
      <c r="Y8" s="10"/>
    </row>
    <row r="9" spans="1:25" x14ac:dyDescent="0.2">
      <c r="A9" t="s">
        <v>21</v>
      </c>
      <c r="B9">
        <v>2.63</v>
      </c>
      <c r="C9">
        <v>1.23</v>
      </c>
      <c r="D9">
        <v>0.96</v>
      </c>
      <c r="E9">
        <v>0.57499999999999996</v>
      </c>
      <c r="F9">
        <v>1.1000000000000001</v>
      </c>
      <c r="G9">
        <v>0.88500000000000001</v>
      </c>
      <c r="H9">
        <v>1.3250000000000002</v>
      </c>
      <c r="I9">
        <v>7.01</v>
      </c>
      <c r="J9">
        <v>1.22</v>
      </c>
      <c r="K9">
        <v>1.6300000000000001</v>
      </c>
      <c r="L9">
        <v>0.63500000000000001</v>
      </c>
      <c r="M9">
        <v>1.7749999999999999</v>
      </c>
      <c r="N9">
        <v>1.0349999999999999</v>
      </c>
      <c r="O9">
        <v>4.2949999999999999</v>
      </c>
      <c r="P9">
        <v>1.425</v>
      </c>
      <c r="Q9">
        <v>1.4449999999999998</v>
      </c>
      <c r="R9">
        <v>1.1400000000000001</v>
      </c>
      <c r="S9">
        <v>3.2549999999999999</v>
      </c>
      <c r="T9">
        <v>0.79</v>
      </c>
      <c r="V9">
        <v>0.81</v>
      </c>
      <c r="X9">
        <v>0.2</v>
      </c>
    </row>
    <row r="10" spans="1:25" x14ac:dyDescent="0.2">
      <c r="A10" t="s">
        <v>22</v>
      </c>
      <c r="B10" s="3">
        <v>1.833333333333333</v>
      </c>
      <c r="C10" s="3">
        <v>0.40666666666666668</v>
      </c>
      <c r="D10" s="3">
        <v>0.63</v>
      </c>
      <c r="E10" s="3">
        <v>0.38</v>
      </c>
      <c r="F10" s="3">
        <v>0.83666666666666656</v>
      </c>
      <c r="G10" s="3">
        <v>0.66</v>
      </c>
      <c r="H10" s="3">
        <v>0.34499999999999997</v>
      </c>
      <c r="I10" s="3">
        <v>12.99</v>
      </c>
      <c r="J10" s="3">
        <v>0.6166666666666667</v>
      </c>
      <c r="K10" s="3">
        <v>0.68</v>
      </c>
      <c r="L10" s="3">
        <v>0.77333333333333332</v>
      </c>
      <c r="M10" s="3">
        <v>1.3149999999999999</v>
      </c>
      <c r="N10" s="3">
        <v>0.27500000000000002</v>
      </c>
      <c r="O10" s="3">
        <v>5.6</v>
      </c>
      <c r="P10" s="3">
        <v>1.02</v>
      </c>
      <c r="Q10" s="3">
        <v>1.2</v>
      </c>
      <c r="R10" s="3">
        <v>0.77666666666666673</v>
      </c>
      <c r="S10" s="3">
        <v>1.37</v>
      </c>
      <c r="T10" s="3">
        <v>0.33</v>
      </c>
      <c r="V10" s="3">
        <v>0.53</v>
      </c>
      <c r="X10" s="3">
        <v>0.16</v>
      </c>
    </row>
    <row r="11" spans="1:25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25" x14ac:dyDescent="0.2">
      <c r="A12" t="s">
        <v>31</v>
      </c>
      <c r="B12" s="3">
        <f>10*B9</f>
        <v>26.299999999999997</v>
      </c>
      <c r="C12" s="3">
        <f t="shared" ref="C12:X12" si="1">10*C9</f>
        <v>12.3</v>
      </c>
      <c r="D12" s="3">
        <f t="shared" si="1"/>
        <v>9.6</v>
      </c>
      <c r="E12" s="3">
        <f t="shared" si="1"/>
        <v>5.75</v>
      </c>
      <c r="F12" s="3">
        <f t="shared" si="1"/>
        <v>11</v>
      </c>
      <c r="G12" s="3">
        <f t="shared" si="1"/>
        <v>8.85</v>
      </c>
      <c r="H12" s="3">
        <f t="shared" si="1"/>
        <v>13.250000000000002</v>
      </c>
      <c r="I12" s="3">
        <f t="shared" si="1"/>
        <v>70.099999999999994</v>
      </c>
      <c r="J12" s="3">
        <f t="shared" si="1"/>
        <v>12.2</v>
      </c>
      <c r="K12" s="3">
        <f t="shared" si="1"/>
        <v>16.3</v>
      </c>
      <c r="L12" s="3">
        <f t="shared" si="1"/>
        <v>6.35</v>
      </c>
      <c r="M12" s="3">
        <f t="shared" si="1"/>
        <v>17.75</v>
      </c>
      <c r="N12" s="3">
        <f t="shared" si="1"/>
        <v>10.35</v>
      </c>
      <c r="O12" s="3">
        <f t="shared" si="1"/>
        <v>42.95</v>
      </c>
      <c r="P12" s="3">
        <f t="shared" si="1"/>
        <v>14.25</v>
      </c>
      <c r="Q12" s="3">
        <f t="shared" si="1"/>
        <v>14.45</v>
      </c>
      <c r="R12" s="3">
        <f t="shared" si="1"/>
        <v>11.400000000000002</v>
      </c>
      <c r="S12" s="3">
        <f t="shared" si="1"/>
        <v>32.549999999999997</v>
      </c>
      <c r="T12" s="3">
        <f t="shared" si="1"/>
        <v>7.9</v>
      </c>
      <c r="U12" s="3"/>
      <c r="V12" s="3">
        <f t="shared" si="1"/>
        <v>8.1000000000000014</v>
      </c>
      <c r="W12" s="3"/>
      <c r="X12" s="3">
        <f t="shared" si="1"/>
        <v>2</v>
      </c>
    </row>
    <row r="13" spans="1:25" x14ac:dyDescent="0.2">
      <c r="A13" t="s">
        <v>32</v>
      </c>
      <c r="B13" s="3">
        <f>10*B10</f>
        <v>18.333333333333329</v>
      </c>
      <c r="C13" s="3">
        <f t="shared" ref="C13:X13" si="2">10*C10</f>
        <v>4.0666666666666664</v>
      </c>
      <c r="D13" s="3">
        <f t="shared" si="2"/>
        <v>6.3</v>
      </c>
      <c r="E13" s="3">
        <f t="shared" si="2"/>
        <v>3.8</v>
      </c>
      <c r="F13" s="3">
        <f t="shared" si="2"/>
        <v>8.3666666666666654</v>
      </c>
      <c r="G13" s="3">
        <f t="shared" si="2"/>
        <v>6.6000000000000005</v>
      </c>
      <c r="H13" s="3">
        <f t="shared" si="2"/>
        <v>3.4499999999999997</v>
      </c>
      <c r="I13" s="3">
        <f t="shared" si="2"/>
        <v>129.9</v>
      </c>
      <c r="J13" s="3">
        <f t="shared" si="2"/>
        <v>6.166666666666667</v>
      </c>
      <c r="K13" s="3">
        <f t="shared" si="2"/>
        <v>6.8000000000000007</v>
      </c>
      <c r="L13" s="3">
        <f t="shared" si="2"/>
        <v>7.7333333333333334</v>
      </c>
      <c r="M13" s="3">
        <f t="shared" si="2"/>
        <v>13.149999999999999</v>
      </c>
      <c r="N13" s="3">
        <f t="shared" si="2"/>
        <v>2.75</v>
      </c>
      <c r="O13" s="3">
        <f t="shared" si="2"/>
        <v>56</v>
      </c>
      <c r="P13" s="3">
        <f t="shared" si="2"/>
        <v>10.199999999999999</v>
      </c>
      <c r="Q13" s="3">
        <f t="shared" si="2"/>
        <v>12</v>
      </c>
      <c r="R13" s="3">
        <f t="shared" si="2"/>
        <v>7.7666666666666675</v>
      </c>
      <c r="S13" s="3">
        <f t="shared" si="2"/>
        <v>13.700000000000001</v>
      </c>
      <c r="T13" s="3">
        <f t="shared" si="2"/>
        <v>3.3000000000000003</v>
      </c>
      <c r="U13" s="3"/>
      <c r="V13" s="3">
        <f t="shared" si="2"/>
        <v>5.3000000000000007</v>
      </c>
      <c r="W13" s="3"/>
      <c r="X13" s="3">
        <f t="shared" si="2"/>
        <v>1.6</v>
      </c>
    </row>
    <row r="14" spans="1:25" x14ac:dyDescent="0.2">
      <c r="A14" s="8" t="s">
        <v>33</v>
      </c>
      <c r="B14" s="3">
        <f>B12+B13</f>
        <v>44.633333333333326</v>
      </c>
      <c r="C14" s="3">
        <f t="shared" ref="C14:X14" si="3">C12+C13</f>
        <v>16.366666666666667</v>
      </c>
      <c r="D14" s="3">
        <f t="shared" si="3"/>
        <v>15.899999999999999</v>
      </c>
      <c r="E14" s="3">
        <f t="shared" si="3"/>
        <v>9.5500000000000007</v>
      </c>
      <c r="F14" s="3">
        <f t="shared" si="3"/>
        <v>19.366666666666667</v>
      </c>
      <c r="G14" s="3">
        <f t="shared" si="3"/>
        <v>15.45</v>
      </c>
      <c r="H14" s="3">
        <f t="shared" si="3"/>
        <v>16.700000000000003</v>
      </c>
      <c r="I14" s="3">
        <f t="shared" si="3"/>
        <v>200</v>
      </c>
      <c r="J14" s="3">
        <f t="shared" si="3"/>
        <v>18.366666666666667</v>
      </c>
      <c r="K14" s="3">
        <f t="shared" si="3"/>
        <v>23.1</v>
      </c>
      <c r="L14" s="3">
        <f t="shared" si="3"/>
        <v>14.083333333333332</v>
      </c>
      <c r="M14" s="3">
        <f t="shared" si="3"/>
        <v>30.9</v>
      </c>
      <c r="N14" s="3">
        <f t="shared" si="3"/>
        <v>13.1</v>
      </c>
      <c r="O14" s="3">
        <f t="shared" si="3"/>
        <v>98.95</v>
      </c>
      <c r="P14" s="3">
        <f t="shared" si="3"/>
        <v>24.45</v>
      </c>
      <c r="Q14" s="3">
        <f t="shared" si="3"/>
        <v>26.45</v>
      </c>
      <c r="R14" s="3">
        <f t="shared" si="3"/>
        <v>19.166666666666671</v>
      </c>
      <c r="S14" s="3">
        <f t="shared" si="3"/>
        <v>46.25</v>
      </c>
      <c r="T14" s="3">
        <f t="shared" si="3"/>
        <v>11.200000000000001</v>
      </c>
      <c r="U14" s="3"/>
      <c r="V14" s="3">
        <f t="shared" si="3"/>
        <v>13.400000000000002</v>
      </c>
      <c r="W14" s="3"/>
      <c r="X14" s="3">
        <f t="shared" si="3"/>
        <v>3.6</v>
      </c>
    </row>
    <row r="15" spans="1:25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5" x14ac:dyDescent="0.2">
      <c r="A16" s="8" t="s">
        <v>101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25" x14ac:dyDescent="0.2">
      <c r="A17" t="s">
        <v>23</v>
      </c>
      <c r="B17" s="3">
        <f>B12*B37*30*0.1</f>
        <v>122.68950000000001</v>
      </c>
      <c r="C17" s="3"/>
      <c r="D17" s="3">
        <f>D12*D37*30*0.1</f>
        <v>59.039999999999992</v>
      </c>
      <c r="E17" s="3"/>
      <c r="F17" s="3">
        <f>F12*F37*30*0.1</f>
        <v>45.210000000000008</v>
      </c>
      <c r="G17" s="3"/>
      <c r="H17" s="15">
        <f>H12*H37*30*0.1</f>
        <v>65.786250000000024</v>
      </c>
      <c r="I17" s="3"/>
      <c r="J17" s="3">
        <f>J12*J37*30*0.1</f>
        <v>61.670999999999992</v>
      </c>
      <c r="K17" s="3"/>
      <c r="L17" s="3">
        <f>L12*L37*30*0.1</f>
        <v>30.670499999999993</v>
      </c>
      <c r="M17" s="3"/>
      <c r="N17" s="15">
        <f>N12*N37*30*0.1</f>
        <v>57.753</v>
      </c>
      <c r="O17" s="3"/>
      <c r="P17" s="3">
        <f>P12*P37*30*0.1</f>
        <v>78.66</v>
      </c>
      <c r="Q17" s="3"/>
      <c r="R17" s="3">
        <f>R12*R37*30*0.1</f>
        <v>42.750000000000014</v>
      </c>
      <c r="S17" s="3"/>
      <c r="T17" s="15">
        <f>T12*T37*30*0.1</f>
        <v>36.26100000000001</v>
      </c>
      <c r="U17" s="3"/>
      <c r="V17" s="3">
        <f>V12*V37*30*0.1</f>
        <v>40.58100000000001</v>
      </c>
      <c r="W17" s="3"/>
      <c r="X17" s="3">
        <f>X12*X37*30*0.1</f>
        <v>8.8800000000000008</v>
      </c>
      <c r="Y17" s="3"/>
    </row>
    <row r="18" spans="1:25" x14ac:dyDescent="0.2">
      <c r="A18" t="s">
        <v>24</v>
      </c>
      <c r="B18" s="16">
        <f>B13*B38*70*0.1</f>
        <v>228.43333333333331</v>
      </c>
      <c r="C18" s="3"/>
      <c r="D18" s="3">
        <f>D13*D38*70*0.1</f>
        <v>89.670000000000016</v>
      </c>
      <c r="E18" s="3"/>
      <c r="F18" s="3">
        <f>F13*F38*70*0.1</f>
        <v>104.44388888888886</v>
      </c>
      <c r="G18" s="3"/>
      <c r="H18" s="3">
        <f>H13*H38*70*0.1</f>
        <v>43.349249999999998</v>
      </c>
      <c r="I18" s="3"/>
      <c r="J18" s="3">
        <f>J13*J38*70*0.1</f>
        <v>89.78666666666669</v>
      </c>
      <c r="K18" s="3"/>
      <c r="L18" s="3">
        <f>L13*L38*70*0.1</f>
        <v>67.666666666666671</v>
      </c>
      <c r="M18" s="3"/>
      <c r="N18" s="3">
        <f>N13*N38*70*0.1</f>
        <v>38.5</v>
      </c>
      <c r="O18" s="3"/>
      <c r="P18" s="3">
        <f>P13*P38*70*0.1</f>
        <v>146.36999999999998</v>
      </c>
      <c r="Q18" s="3"/>
      <c r="R18" s="3">
        <f>R13*R38*70*0.1</f>
        <v>86.080555555555563</v>
      </c>
      <c r="S18" s="3"/>
      <c r="T18" s="16">
        <f>T13*T38*70*0.1</f>
        <v>33.264000000000003</v>
      </c>
      <c r="U18" s="3"/>
      <c r="V18" s="3">
        <f>V13*V38*70*0.1</f>
        <v>64.183000000000007</v>
      </c>
      <c r="W18" s="3"/>
      <c r="X18" s="14">
        <f>X13*X38*70*0.1</f>
        <v>17.920000000000005</v>
      </c>
      <c r="Y18" s="3"/>
    </row>
    <row r="19" spans="1:25" x14ac:dyDescent="0.2">
      <c r="A19" s="8" t="s">
        <v>34</v>
      </c>
      <c r="B19" s="3">
        <f>B17+B18</f>
        <v>351.12283333333335</v>
      </c>
      <c r="C19" s="3"/>
      <c r="D19" s="3">
        <f t="shared" ref="D19:X19" si="4">D17+D18</f>
        <v>148.71</v>
      </c>
      <c r="E19" s="3"/>
      <c r="F19" s="3">
        <f t="shared" si="4"/>
        <v>149.65388888888887</v>
      </c>
      <c r="G19" s="3"/>
      <c r="H19" s="3">
        <f t="shared" si="4"/>
        <v>109.13550000000002</v>
      </c>
      <c r="I19" s="3"/>
      <c r="J19" s="3">
        <f t="shared" si="4"/>
        <v>151.45766666666668</v>
      </c>
      <c r="K19" s="3"/>
      <c r="L19" s="3">
        <f t="shared" si="4"/>
        <v>98.337166666666661</v>
      </c>
      <c r="M19" s="3"/>
      <c r="N19" s="3">
        <f t="shared" si="4"/>
        <v>96.253</v>
      </c>
      <c r="O19" s="3"/>
      <c r="P19" s="3">
        <f t="shared" si="4"/>
        <v>225.02999999999997</v>
      </c>
      <c r="Q19" s="3"/>
      <c r="R19" s="3">
        <f t="shared" si="4"/>
        <v>128.83055555555558</v>
      </c>
      <c r="S19" s="3"/>
      <c r="T19" s="3">
        <f t="shared" si="4"/>
        <v>69.525000000000006</v>
      </c>
      <c r="U19" s="3"/>
      <c r="V19" s="3">
        <f t="shared" si="4"/>
        <v>104.76400000000001</v>
      </c>
      <c r="W19" s="3"/>
      <c r="X19" s="3">
        <f t="shared" si="4"/>
        <v>26.800000000000004</v>
      </c>
      <c r="Y19" s="3"/>
    </row>
    <row r="20" spans="1:25" x14ac:dyDescent="0.2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">
      <c r="A21" s="8" t="s">
        <v>102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">
      <c r="A22" t="s">
        <v>23</v>
      </c>
      <c r="B22" s="3"/>
      <c r="C22" s="15">
        <f>C12*C37*30*0.1</f>
        <v>94.534450427468968</v>
      </c>
      <c r="D22" s="3"/>
      <c r="E22" s="3">
        <f t="shared" ref="E22:S22" si="5">E12*E37*30*0.1</f>
        <v>32.464827241163995</v>
      </c>
      <c r="F22" s="3"/>
      <c r="G22" s="3">
        <f t="shared" si="5"/>
        <v>56.018030123195608</v>
      </c>
      <c r="H22" s="3"/>
      <c r="I22" s="3">
        <f t="shared" si="5"/>
        <v>306.23230925305637</v>
      </c>
      <c r="J22" s="3"/>
      <c r="K22" s="14">
        <f t="shared" si="5"/>
        <v>83.619000000000014</v>
      </c>
      <c r="L22" s="3"/>
      <c r="M22" s="3">
        <f t="shared" si="5"/>
        <v>154.99194774042837</v>
      </c>
      <c r="N22" s="3"/>
      <c r="O22" s="3">
        <f t="shared" si="5"/>
        <v>252.16812730074773</v>
      </c>
      <c r="P22" s="3"/>
      <c r="Q22" s="3">
        <f t="shared" si="5"/>
        <v>112.51972397918945</v>
      </c>
      <c r="R22" s="3"/>
      <c r="S22" s="15">
        <f t="shared" si="5"/>
        <v>275.22499132721435</v>
      </c>
      <c r="T22" s="3"/>
      <c r="U22" s="3"/>
      <c r="V22" s="3"/>
      <c r="W22" s="3"/>
      <c r="X22" s="3"/>
      <c r="Y22" s="3"/>
    </row>
    <row r="23" spans="1:25" x14ac:dyDescent="0.2">
      <c r="A23" t="s">
        <v>24</v>
      </c>
      <c r="B23" s="3"/>
      <c r="C23" s="3">
        <f>C13*C38*70*0.1</f>
        <v>67.287263074090504</v>
      </c>
      <c r="D23" s="3"/>
      <c r="E23" s="3">
        <f t="shared" ref="E23:S23" si="6">E13*E38*70*0.1</f>
        <v>50.599783116304465</v>
      </c>
      <c r="F23" s="3"/>
      <c r="G23" s="3">
        <f t="shared" si="6"/>
        <v>94.200759014813428</v>
      </c>
      <c r="H23" s="3"/>
      <c r="I23" s="3">
        <f t="shared" si="6"/>
        <v>1028.0167362702232</v>
      </c>
      <c r="J23" s="3"/>
      <c r="K23" s="14">
        <f t="shared" si="6"/>
        <v>97.58</v>
      </c>
      <c r="L23" s="3"/>
      <c r="M23" s="3">
        <f t="shared" si="6"/>
        <v>219.40463007800196</v>
      </c>
      <c r="N23" s="3"/>
      <c r="O23" s="3">
        <f t="shared" si="6"/>
        <v>667.92609037137947</v>
      </c>
      <c r="P23" s="3"/>
      <c r="Q23" s="3">
        <f t="shared" si="6"/>
        <v>205.57702280225587</v>
      </c>
      <c r="R23" s="3"/>
      <c r="S23" s="3">
        <f t="shared" si="6"/>
        <v>226.64271393045448</v>
      </c>
      <c r="T23" s="3"/>
      <c r="U23" s="3"/>
      <c r="V23" s="3"/>
      <c r="W23" s="3"/>
      <c r="X23" s="3"/>
      <c r="Y23" s="3"/>
    </row>
    <row r="24" spans="1:25" x14ac:dyDescent="0.2">
      <c r="A24" s="8" t="s">
        <v>34</v>
      </c>
      <c r="C24" s="3">
        <f>C22+C23</f>
        <v>161.82171350155949</v>
      </c>
      <c r="D24" s="3"/>
      <c r="E24" s="3">
        <f t="shared" ref="E24:S24" si="7">E22+E23</f>
        <v>83.064610357468467</v>
      </c>
      <c r="F24" s="3"/>
      <c r="G24" s="3">
        <f t="shared" si="7"/>
        <v>150.21878913800904</v>
      </c>
      <c r="H24" s="3"/>
      <c r="I24" s="3">
        <f t="shared" si="7"/>
        <v>1334.2490455232796</v>
      </c>
      <c r="J24" s="3"/>
      <c r="K24" s="14">
        <f t="shared" si="7"/>
        <v>181.19900000000001</v>
      </c>
      <c r="L24" s="3"/>
      <c r="M24" s="3">
        <f t="shared" si="7"/>
        <v>374.39657781843033</v>
      </c>
      <c r="N24" s="3"/>
      <c r="O24" s="3">
        <f t="shared" si="7"/>
        <v>920.09421767212723</v>
      </c>
      <c r="P24" s="3"/>
      <c r="Q24" s="3">
        <f t="shared" si="7"/>
        <v>318.09674678144529</v>
      </c>
      <c r="R24" s="3"/>
      <c r="S24" s="3">
        <f t="shared" si="7"/>
        <v>501.86770525766883</v>
      </c>
    </row>
    <row r="25" spans="1:25" x14ac:dyDescent="0.2">
      <c r="A25" s="8"/>
    </row>
    <row r="26" spans="1:25" ht="19" x14ac:dyDescent="0.25">
      <c r="A26" s="1"/>
      <c r="B26" s="1"/>
      <c r="C26" s="1"/>
      <c r="D26" s="19" t="s">
        <v>16</v>
      </c>
      <c r="E26" s="20"/>
      <c r="F26" s="20"/>
      <c r="G26" s="2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0"/>
      <c r="U26" s="10"/>
      <c r="V26" s="10"/>
      <c r="W26" s="10"/>
      <c r="X26" s="10"/>
      <c r="Y26" s="10"/>
    </row>
    <row r="27" spans="1:25" x14ac:dyDescent="0.2">
      <c r="A27" t="s">
        <v>13</v>
      </c>
      <c r="B27" s="3">
        <v>0.14650000000000002</v>
      </c>
      <c r="C27" s="3">
        <v>0.16</v>
      </c>
      <c r="D27" s="3">
        <v>0.12</v>
      </c>
      <c r="E27" s="3">
        <v>0.08</v>
      </c>
      <c r="F27" s="3">
        <v>0.11449999999999999</v>
      </c>
      <c r="G27" s="3">
        <v>0.1</v>
      </c>
      <c r="H27" s="3">
        <v>0.1075</v>
      </c>
      <c r="I27" s="3">
        <v>0.42</v>
      </c>
      <c r="J27" s="3">
        <v>0.1305</v>
      </c>
      <c r="K27" s="3">
        <v>0.185</v>
      </c>
      <c r="L27" s="3">
        <v>0.10200000000000001</v>
      </c>
      <c r="M27" s="3">
        <v>0.185</v>
      </c>
      <c r="N27" s="3">
        <v>0.11499999999999999</v>
      </c>
      <c r="O27" s="3">
        <v>0.39</v>
      </c>
      <c r="P27" s="3">
        <v>0.13350000000000001</v>
      </c>
      <c r="Q27" s="3">
        <v>0.16500000000000001</v>
      </c>
      <c r="R27" s="3">
        <v>0.13450000000000001</v>
      </c>
      <c r="S27" s="3">
        <v>0.255</v>
      </c>
      <c r="T27" s="3">
        <v>7.0000000000000007E-2</v>
      </c>
      <c r="V27" s="3">
        <v>7.0000000000000007E-2</v>
      </c>
      <c r="X27" s="3">
        <v>0.08</v>
      </c>
    </row>
    <row r="28" spans="1:25" x14ac:dyDescent="0.2">
      <c r="A28" t="s">
        <v>14</v>
      </c>
      <c r="B28" s="3">
        <v>8.1666666666666665E-2</v>
      </c>
      <c r="C28" s="3">
        <v>6.6666666666666666E-2</v>
      </c>
      <c r="D28" s="3">
        <v>7.7333333333333337E-2</v>
      </c>
      <c r="E28" s="3">
        <v>0.06</v>
      </c>
      <c r="F28" s="3">
        <v>8.7666666666666671E-2</v>
      </c>
      <c r="G28" s="3">
        <v>0.08</v>
      </c>
      <c r="H28" s="3">
        <v>3.95E-2</v>
      </c>
      <c r="I28" s="3">
        <v>0.49</v>
      </c>
      <c r="J28" s="3">
        <v>7.166666666666667E-2</v>
      </c>
      <c r="K28" s="3">
        <v>0.09</v>
      </c>
      <c r="L28" s="3">
        <v>7.1666666666666656E-2</v>
      </c>
      <c r="M28" s="3">
        <v>0.1</v>
      </c>
      <c r="N28" s="3">
        <v>0.1295</v>
      </c>
      <c r="O28" s="3">
        <v>0.49</v>
      </c>
      <c r="P28" s="3">
        <v>8.2000000000000003E-2</v>
      </c>
      <c r="Q28" s="3">
        <v>0.18</v>
      </c>
      <c r="R28" s="3">
        <v>0.11499999999999999</v>
      </c>
      <c r="S28" s="3">
        <v>0.1</v>
      </c>
      <c r="T28" s="3">
        <v>0.03</v>
      </c>
      <c r="V28" s="3">
        <v>0.09</v>
      </c>
      <c r="X28" s="3">
        <v>7.0000000000000007E-2</v>
      </c>
    </row>
    <row r="29" spans="1:25" x14ac:dyDescent="0.2">
      <c r="A29" s="8" t="s">
        <v>20</v>
      </c>
      <c r="B29" s="3">
        <f>AVERAGE(B27:B28)</f>
        <v>0.11408333333333334</v>
      </c>
      <c r="C29" s="3">
        <f t="shared" ref="C29:X29" si="8">AVERAGE(C27:C28)</f>
        <v>0.11333333333333334</v>
      </c>
      <c r="D29" s="3">
        <f t="shared" si="8"/>
        <v>9.8666666666666666E-2</v>
      </c>
      <c r="E29" s="3">
        <f t="shared" si="8"/>
        <v>7.0000000000000007E-2</v>
      </c>
      <c r="F29" s="3">
        <f t="shared" si="8"/>
        <v>0.10108333333333333</v>
      </c>
      <c r="G29" s="3">
        <f t="shared" si="8"/>
        <v>0.09</v>
      </c>
      <c r="H29" s="3">
        <f t="shared" si="8"/>
        <v>7.3499999999999996E-2</v>
      </c>
      <c r="I29" s="3">
        <f t="shared" si="8"/>
        <v>0.45499999999999996</v>
      </c>
      <c r="J29" s="3">
        <f t="shared" si="8"/>
        <v>0.10108333333333333</v>
      </c>
      <c r="K29" s="3">
        <f t="shared" si="8"/>
        <v>0.13750000000000001</v>
      </c>
      <c r="L29" s="3">
        <f t="shared" si="8"/>
        <v>8.6833333333333332E-2</v>
      </c>
      <c r="M29" s="3">
        <f t="shared" si="8"/>
        <v>0.14250000000000002</v>
      </c>
      <c r="N29" s="3">
        <f t="shared" si="8"/>
        <v>0.12225</v>
      </c>
      <c r="O29" s="3">
        <f t="shared" si="8"/>
        <v>0.44</v>
      </c>
      <c r="P29" s="3">
        <f t="shared" si="8"/>
        <v>0.10775000000000001</v>
      </c>
      <c r="Q29" s="3">
        <f t="shared" si="8"/>
        <v>0.17249999999999999</v>
      </c>
      <c r="R29" s="3">
        <f t="shared" si="8"/>
        <v>0.12475</v>
      </c>
      <c r="S29" s="3">
        <f t="shared" si="8"/>
        <v>0.17749999999999999</v>
      </c>
      <c r="T29" s="3">
        <f t="shared" si="8"/>
        <v>0.05</v>
      </c>
      <c r="U29" s="3"/>
      <c r="V29" s="3">
        <f t="shared" si="8"/>
        <v>0.08</v>
      </c>
      <c r="W29" s="3"/>
      <c r="X29" s="3">
        <f t="shared" si="8"/>
        <v>7.5000000000000011E-2</v>
      </c>
      <c r="Y29" s="3"/>
    </row>
    <row r="30" spans="1:25" x14ac:dyDescent="0.2">
      <c r="B30" s="24">
        <f>AVERAGE(B29:C29)</f>
        <v>0.11370833333333334</v>
      </c>
      <c r="C30" s="25"/>
      <c r="D30" s="24">
        <f t="shared" ref="D30" si="9">AVERAGE(D29:E29)</f>
        <v>8.4333333333333343E-2</v>
      </c>
      <c r="E30" s="25"/>
      <c r="F30" s="24">
        <f t="shared" ref="F30" si="10">AVERAGE(F29:G29)</f>
        <v>9.5541666666666664E-2</v>
      </c>
      <c r="G30" s="25"/>
      <c r="H30" s="24">
        <f t="shared" ref="H30" si="11">AVERAGE(H29:I29)</f>
        <v>0.26424999999999998</v>
      </c>
      <c r="I30" s="25"/>
      <c r="J30" s="24">
        <f t="shared" ref="J30" si="12">AVERAGE(J29:K29)</f>
        <v>0.11929166666666667</v>
      </c>
      <c r="K30" s="25"/>
      <c r="L30" s="24">
        <f t="shared" ref="L30" si="13">AVERAGE(L29:M29)</f>
        <v>0.11466666666666667</v>
      </c>
      <c r="M30" s="25"/>
      <c r="N30" s="24">
        <f t="shared" ref="N30" si="14">AVERAGE(N29:O29)</f>
        <v>0.28112500000000001</v>
      </c>
      <c r="O30" s="25"/>
      <c r="P30" s="24">
        <f>AVERAGE(P29:Q29)</f>
        <v>0.140125</v>
      </c>
      <c r="Q30" s="25"/>
      <c r="R30" s="24">
        <f t="shared" ref="R30" si="15">AVERAGE(R29:S29)</f>
        <v>0.15112500000000001</v>
      </c>
      <c r="S30" s="25"/>
      <c r="T30" s="24">
        <f t="shared" ref="T30" si="16">AVERAGE(T29:U29)</f>
        <v>0.05</v>
      </c>
      <c r="U30" s="25"/>
      <c r="V30" s="24">
        <f t="shared" ref="V30" si="17">AVERAGE(V29:W29)</f>
        <v>0.08</v>
      </c>
      <c r="W30" s="25"/>
      <c r="X30" s="24">
        <f>AVERAGE(X29:Y29)</f>
        <v>7.5000000000000011E-2</v>
      </c>
      <c r="Y30" s="25"/>
    </row>
    <row r="31" spans="1:25" ht="19" x14ac:dyDescent="0.25">
      <c r="A31" s="1"/>
      <c r="B31" s="1"/>
      <c r="C31" s="1"/>
      <c r="D31" s="19" t="s">
        <v>17</v>
      </c>
      <c r="E31" s="20"/>
      <c r="F31" s="20"/>
      <c r="G31" s="2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0"/>
      <c r="U31" s="10"/>
      <c r="V31" s="10"/>
      <c r="W31" s="10"/>
      <c r="X31" s="10"/>
      <c r="Y31" s="10"/>
    </row>
    <row r="32" spans="1:25" x14ac:dyDescent="0.2">
      <c r="A32" t="s">
        <v>13</v>
      </c>
      <c r="B32" s="3">
        <v>55.435000000000002</v>
      </c>
      <c r="C32" s="3">
        <v>56</v>
      </c>
      <c r="D32" s="3">
        <v>49.625</v>
      </c>
      <c r="E32" s="3">
        <v>17.45</v>
      </c>
      <c r="F32" s="3">
        <v>67.56</v>
      </c>
      <c r="G32" s="3">
        <v>21</v>
      </c>
      <c r="H32" s="3">
        <v>33.555</v>
      </c>
      <c r="I32" s="3">
        <v>16.5</v>
      </c>
      <c r="J32" s="3">
        <v>35.96</v>
      </c>
      <c r="K32" s="3">
        <v>57.5</v>
      </c>
      <c r="L32" s="3">
        <v>48.88</v>
      </c>
      <c r="M32" s="3">
        <v>74</v>
      </c>
      <c r="N32" s="3">
        <v>37.269999999999996</v>
      </c>
      <c r="O32" s="3">
        <v>36.200000000000003</v>
      </c>
      <c r="P32" s="3">
        <v>31.685000000000002</v>
      </c>
      <c r="Q32" s="3">
        <v>58.5</v>
      </c>
      <c r="R32" s="3">
        <v>72.2</v>
      </c>
      <c r="S32" s="3">
        <v>73.5</v>
      </c>
      <c r="T32" s="3">
        <v>42.33</v>
      </c>
      <c r="V32" s="3">
        <v>50</v>
      </c>
      <c r="X32" s="3">
        <v>6</v>
      </c>
    </row>
    <row r="33" spans="1:26" x14ac:dyDescent="0.2">
      <c r="A33" t="s">
        <v>14</v>
      </c>
      <c r="B33" s="3">
        <v>46.660000000000004</v>
      </c>
      <c r="C33" s="3">
        <v>40.333333333333336</v>
      </c>
      <c r="D33" s="3">
        <v>41.663333333333334</v>
      </c>
      <c r="E33" s="3">
        <v>20.633333333333333</v>
      </c>
      <c r="F33" s="3">
        <v>39.243333333333332</v>
      </c>
      <c r="G33" s="3">
        <v>25.666666666666668</v>
      </c>
      <c r="H33" s="3">
        <v>28.57</v>
      </c>
      <c r="I33" s="3">
        <v>5.5</v>
      </c>
      <c r="J33" s="3">
        <v>32.703333333333326</v>
      </c>
      <c r="K33" s="3">
        <v>41.333333333333336</v>
      </c>
      <c r="L33" s="3">
        <v>63.406666666666666</v>
      </c>
      <c r="M33" s="3">
        <v>48.333333333333336</v>
      </c>
      <c r="N33" s="3">
        <v>23.254999999999999</v>
      </c>
      <c r="O33" s="3">
        <v>26.35</v>
      </c>
      <c r="P33" s="3">
        <v>29.5</v>
      </c>
      <c r="Q33" s="3">
        <v>50.666666666666664</v>
      </c>
      <c r="R33" s="3">
        <v>53.343333333333334</v>
      </c>
      <c r="S33" s="3">
        <v>47.666666666666664</v>
      </c>
      <c r="T33" s="3">
        <v>36</v>
      </c>
      <c r="V33" s="3">
        <v>61.67</v>
      </c>
      <c r="X33" s="3">
        <v>6</v>
      </c>
    </row>
    <row r="34" spans="1:26" x14ac:dyDescent="0.2">
      <c r="A34" s="8" t="s">
        <v>20</v>
      </c>
      <c r="B34" s="3">
        <f>AVERAGE(B32:B33)</f>
        <v>51.047499999999999</v>
      </c>
      <c r="C34" s="3">
        <f t="shared" ref="C34:K34" si="18">AVERAGE(C32:C33)</f>
        <v>48.166666666666671</v>
      </c>
      <c r="D34" s="3">
        <f t="shared" si="18"/>
        <v>45.644166666666663</v>
      </c>
      <c r="E34" s="3">
        <f t="shared" si="18"/>
        <v>19.041666666666664</v>
      </c>
      <c r="F34" s="3">
        <f t="shared" si="18"/>
        <v>53.401666666666671</v>
      </c>
      <c r="G34" s="3">
        <f t="shared" si="18"/>
        <v>23.333333333333336</v>
      </c>
      <c r="H34" s="3">
        <f t="shared" si="18"/>
        <v>31.0625</v>
      </c>
      <c r="I34" s="3">
        <f t="shared" si="18"/>
        <v>11</v>
      </c>
      <c r="J34" s="3">
        <f t="shared" si="18"/>
        <v>34.331666666666663</v>
      </c>
      <c r="K34" s="3">
        <f t="shared" si="18"/>
        <v>49.416666666666671</v>
      </c>
      <c r="L34" s="3">
        <f>AVERAGE(L32:L33)</f>
        <v>56.143333333333331</v>
      </c>
      <c r="M34" s="3">
        <f t="shared" ref="M34" si="19">AVERAGE(M32:M33)</f>
        <v>61.166666666666671</v>
      </c>
      <c r="N34" s="3">
        <f t="shared" ref="N34" si="20">AVERAGE(N32:N33)</f>
        <v>30.262499999999996</v>
      </c>
      <c r="O34" s="3">
        <f t="shared" ref="O34" si="21">AVERAGE(O32:O33)</f>
        <v>31.275000000000002</v>
      </c>
      <c r="P34" s="3">
        <f t="shared" ref="P34" si="22">AVERAGE(P32:P33)</f>
        <v>30.592500000000001</v>
      </c>
      <c r="Q34" s="3">
        <f t="shared" ref="Q34" si="23">AVERAGE(Q32:Q33)</f>
        <v>54.583333333333329</v>
      </c>
      <c r="R34" s="3">
        <f t="shared" ref="R34" si="24">AVERAGE(R32:R33)</f>
        <v>62.771666666666668</v>
      </c>
      <c r="S34" s="3">
        <f t="shared" ref="S34:X34" si="25">AVERAGE(S32:S33)</f>
        <v>60.583333333333329</v>
      </c>
      <c r="T34" s="3">
        <f t="shared" si="25"/>
        <v>39.164999999999999</v>
      </c>
      <c r="U34" s="3"/>
      <c r="V34" s="3">
        <f t="shared" si="25"/>
        <v>55.835000000000001</v>
      </c>
      <c r="W34" s="3"/>
      <c r="X34" s="3">
        <f t="shared" si="25"/>
        <v>6</v>
      </c>
      <c r="Y34" s="3"/>
    </row>
    <row r="36" spans="1:26" ht="19" x14ac:dyDescent="0.25">
      <c r="A36" s="1"/>
      <c r="B36" s="1"/>
      <c r="C36" s="1"/>
      <c r="D36" s="19" t="s">
        <v>18</v>
      </c>
      <c r="E36" s="20"/>
      <c r="F36" s="20"/>
      <c r="G36" s="2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0"/>
      <c r="U36" s="10"/>
      <c r="V36" s="10"/>
      <c r="W36" s="10"/>
      <c r="X36" s="10"/>
      <c r="Y36" s="10"/>
    </row>
    <row r="37" spans="1:26" x14ac:dyDescent="0.2">
      <c r="A37" t="s">
        <v>13</v>
      </c>
      <c r="B37" s="3">
        <v>1.5550000000000002</v>
      </c>
      <c r="C37" s="3">
        <f>1.66-(0.308*LOG(C12)-0.0221*C32)</f>
        <v>2.5619092256766653</v>
      </c>
      <c r="D37" s="3">
        <v>2.0499999999999998</v>
      </c>
      <c r="E37" s="3">
        <f>1.66-(0.308*LOG(E12)-0.0221*E33)</f>
        <v>1.8820189705022603</v>
      </c>
      <c r="F37" s="3">
        <v>1.37</v>
      </c>
      <c r="G37" s="3">
        <f>1.66-(0.308*LOG(G12)-0.0221*H32)</f>
        <v>2.1099069726250699</v>
      </c>
      <c r="H37" s="3">
        <v>1.655</v>
      </c>
      <c r="I37" s="3">
        <f>1.66-(0.308*LOG(I12)-0.0221*I32)</f>
        <v>1.4561688504662691</v>
      </c>
      <c r="J37" s="3">
        <v>1.6850000000000001</v>
      </c>
      <c r="K37" s="14">
        <v>1.71</v>
      </c>
      <c r="L37" s="3">
        <v>1.6099999999999999</v>
      </c>
      <c r="M37" s="3">
        <f>1.66-(0.308*LOG(M12)-0.0221*M32)</f>
        <v>2.9106469059235374</v>
      </c>
      <c r="N37" s="3">
        <v>1.8599999999999999</v>
      </c>
      <c r="O37" s="3">
        <f>1.66-(0.308*LOG(O12)-0.0221*O32)</f>
        <v>1.9570673442044837</v>
      </c>
      <c r="P37" s="3">
        <v>1.8399999999999999</v>
      </c>
      <c r="Q37" s="3">
        <f>1.66-(0.308*LOG(Q12)-0.0221*Q32)</f>
        <v>2.5956107030954891</v>
      </c>
      <c r="R37" s="3">
        <v>1.25</v>
      </c>
      <c r="S37" s="3">
        <f>1.66-(0.308*LOG(S12)-0.0221*S32)</f>
        <v>2.8184842941855033</v>
      </c>
      <c r="T37" s="3">
        <v>1.53</v>
      </c>
      <c r="V37">
        <v>1.67</v>
      </c>
      <c r="X37">
        <v>1.48</v>
      </c>
    </row>
    <row r="38" spans="1:26" x14ac:dyDescent="0.2">
      <c r="A38" t="s">
        <v>14</v>
      </c>
      <c r="B38" s="3">
        <v>1.78</v>
      </c>
      <c r="C38" s="3">
        <f>1.66-(0.308*LOG(C13)-0.0221*C33)</f>
        <v>2.3637211852725004</v>
      </c>
      <c r="D38" s="3">
        <v>2.0333333333333337</v>
      </c>
      <c r="E38" s="3">
        <f>1.66-(0.308*LOG(E13)-0.0221*E34)</f>
        <v>1.9022474855753557</v>
      </c>
      <c r="F38" s="3">
        <v>1.7833333333333332</v>
      </c>
      <c r="G38" s="3">
        <f>1.66-(0.308*LOG(G13)-0.0221*H33)</f>
        <v>2.0389774678531043</v>
      </c>
      <c r="H38" s="3">
        <v>1.7949999999999999</v>
      </c>
      <c r="I38" s="3">
        <f>1.66-(0.308*LOG(I13)-0.0221*I33)</f>
        <v>1.1305583814695075</v>
      </c>
      <c r="J38" s="3">
        <v>2.08</v>
      </c>
      <c r="K38" s="14">
        <v>2.0499999999999998</v>
      </c>
      <c r="L38" s="3">
        <v>1.25</v>
      </c>
      <c r="M38" s="3">
        <f>1.66-(0.308*LOG(M13)-0.0221*M33)</f>
        <v>2.3835375347963277</v>
      </c>
      <c r="N38" s="3">
        <v>2</v>
      </c>
      <c r="O38" s="3">
        <f>1.66-(0.308*LOG(O13)-0.0221*O33)</f>
        <v>1.7038930876820904</v>
      </c>
      <c r="P38" s="3">
        <v>2.0499999999999998</v>
      </c>
      <c r="Q38" s="3">
        <f>1.66-(0.308*LOG(Q13)-0.0221*Q33)</f>
        <v>2.4473455095506651</v>
      </c>
      <c r="R38" s="3">
        <v>1.5833333333333333</v>
      </c>
      <c r="S38" s="3">
        <f>1.66-(0.308*LOG(S13)-0.0221*S33)</f>
        <v>2.3633233986491602</v>
      </c>
      <c r="T38" s="3">
        <v>1.44</v>
      </c>
      <c r="V38">
        <v>1.73</v>
      </c>
      <c r="X38">
        <v>1.6</v>
      </c>
    </row>
    <row r="39" spans="1:26" x14ac:dyDescent="0.2">
      <c r="A39" s="8" t="s">
        <v>20</v>
      </c>
      <c r="B39" s="3">
        <v>1.6900000000000002</v>
      </c>
      <c r="C39" s="3">
        <f>AVERAGE(C37:C38)</f>
        <v>2.4628152054745831</v>
      </c>
      <c r="D39" s="3">
        <v>2.04</v>
      </c>
      <c r="E39" s="3">
        <f>AVERAGE(E37:E38)</f>
        <v>1.8921332280388081</v>
      </c>
      <c r="F39" s="3">
        <v>1.6179999999999999</v>
      </c>
      <c r="G39" s="3">
        <f>AVERAGE(G37:G38)</f>
        <v>2.0744422202390869</v>
      </c>
      <c r="H39" s="3">
        <v>1.7250000000000001</v>
      </c>
      <c r="I39" s="3">
        <f>AVERAGE(I37:I38)</f>
        <v>1.2933636159678883</v>
      </c>
      <c r="J39" s="3">
        <v>1.9220000000000002</v>
      </c>
      <c r="K39" s="14">
        <f>AVERAGE(K37:K38)</f>
        <v>1.88</v>
      </c>
      <c r="L39" s="3">
        <v>1.3940000000000001</v>
      </c>
      <c r="M39" s="3">
        <f>AVERAGE(M37:M38)</f>
        <v>2.6470922203599327</v>
      </c>
      <c r="N39" s="3">
        <v>1.9300000000000002</v>
      </c>
      <c r="O39" s="3">
        <f>AVERAGE(O37:O38)</f>
        <v>1.8304802159432869</v>
      </c>
      <c r="P39" s="3">
        <v>1.9659999999999997</v>
      </c>
      <c r="Q39" s="3">
        <f>AVERAGE(Q37:Q38)</f>
        <v>2.5214781063230771</v>
      </c>
      <c r="R39" s="3">
        <v>1.45</v>
      </c>
      <c r="S39" s="3">
        <f>AVERAGE(S37:S38)</f>
        <v>2.5909038464173317</v>
      </c>
      <c r="T39" s="3">
        <f>AVERAGE(T37:T38)</f>
        <v>1.4849999999999999</v>
      </c>
      <c r="U39" s="3"/>
      <c r="V39" s="3">
        <f t="shared" ref="V39:X39" si="26">AVERAGE(V37:V38)</f>
        <v>1.7</v>
      </c>
      <c r="W39" s="3"/>
      <c r="X39" s="3">
        <f t="shared" si="26"/>
        <v>1.54</v>
      </c>
    </row>
    <row r="42" spans="1:26" ht="19" x14ac:dyDescent="0.25">
      <c r="A42" s="10"/>
      <c r="B42" s="10"/>
      <c r="C42" s="10"/>
      <c r="D42" s="19" t="s">
        <v>40</v>
      </c>
      <c r="E42" s="20"/>
      <c r="F42" s="20"/>
      <c r="G42" s="2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6" x14ac:dyDescent="0.2">
      <c r="A43" t="s">
        <v>13</v>
      </c>
      <c r="N43">
        <v>19.170000000000002</v>
      </c>
      <c r="T43">
        <v>55.76</v>
      </c>
      <c r="V43">
        <v>26.65</v>
      </c>
      <c r="X43">
        <v>35.65</v>
      </c>
    </row>
    <row r="44" spans="1:26" x14ac:dyDescent="0.2">
      <c r="A44" t="s">
        <v>14</v>
      </c>
      <c r="B44" s="4"/>
      <c r="C44" s="4"/>
      <c r="D44" s="4"/>
      <c r="E44" s="5"/>
      <c r="F44" s="4"/>
      <c r="G44" s="5"/>
      <c r="H44" s="4"/>
      <c r="I44" s="5"/>
      <c r="J44" s="4"/>
      <c r="K44" s="5"/>
      <c r="L44" s="4"/>
      <c r="M44" s="5"/>
      <c r="N44" s="4">
        <v>15.34</v>
      </c>
      <c r="O44" s="5"/>
      <c r="P44" s="4"/>
      <c r="Q44" s="5"/>
      <c r="R44" s="4"/>
      <c r="S44" s="6"/>
      <c r="T44">
        <v>42.83</v>
      </c>
      <c r="V44">
        <v>45.6</v>
      </c>
      <c r="X44">
        <v>30.47</v>
      </c>
    </row>
    <row r="45" spans="1:26" x14ac:dyDescent="0.2">
      <c r="A45" s="8" t="s">
        <v>20</v>
      </c>
      <c r="T45">
        <f>AVERAGE(T43:T44)</f>
        <v>49.295000000000002</v>
      </c>
      <c r="V45">
        <f t="shared" ref="V45:X45" si="27">AVERAGE(V43:V44)</f>
        <v>36.125</v>
      </c>
      <c r="X45">
        <f t="shared" si="27"/>
        <v>33.06</v>
      </c>
    </row>
    <row r="47" spans="1:26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B48">
        <v>1.69</v>
      </c>
    </row>
    <row r="49" spans="2:33" x14ac:dyDescent="0.2">
      <c r="B49">
        <v>2.04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2:33" x14ac:dyDescent="0.2">
      <c r="B50">
        <v>1.62</v>
      </c>
    </row>
    <row r="51" spans="2:33" x14ac:dyDescent="0.2">
      <c r="B51">
        <v>1.73</v>
      </c>
      <c r="D51" s="3"/>
    </row>
    <row r="52" spans="2:33" x14ac:dyDescent="0.2">
      <c r="B52">
        <v>1.92</v>
      </c>
      <c r="D52" s="3"/>
    </row>
    <row r="53" spans="2:33" x14ac:dyDescent="0.2">
      <c r="B53">
        <v>1.39</v>
      </c>
      <c r="D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33" x14ac:dyDescent="0.2">
      <c r="B54">
        <v>1.93</v>
      </c>
      <c r="D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33" x14ac:dyDescent="0.2">
      <c r="B55">
        <v>1.97</v>
      </c>
      <c r="D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2:33" x14ac:dyDescent="0.2">
      <c r="B56">
        <v>1.45</v>
      </c>
      <c r="D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33" x14ac:dyDescent="0.2">
      <c r="B57">
        <v>1.49</v>
      </c>
      <c r="D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33" x14ac:dyDescent="0.2">
      <c r="B58">
        <f>AVERAGE(B48:B57)</f>
        <v>1.7230000000000001</v>
      </c>
      <c r="D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33" x14ac:dyDescent="0.2">
      <c r="D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33" x14ac:dyDescent="0.2">
      <c r="D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33" x14ac:dyDescent="0.2">
      <c r="D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33" x14ac:dyDescent="0.2">
      <c r="D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33" x14ac:dyDescent="0.2">
      <c r="D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33" x14ac:dyDescent="0.2">
      <c r="D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4:28" x14ac:dyDescent="0.2">
      <c r="D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4:28" x14ac:dyDescent="0.2">
      <c r="D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4:28" x14ac:dyDescent="0.2">
      <c r="D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4:28" x14ac:dyDescent="0.2">
      <c r="D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4:28" x14ac:dyDescent="0.2">
      <c r="D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4:28" x14ac:dyDescent="0.2">
      <c r="D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4:28" x14ac:dyDescent="0.2">
      <c r="D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4:28" x14ac:dyDescent="0.2">
      <c r="D72" s="3"/>
      <c r="F72" s="3"/>
      <c r="H72" s="3"/>
    </row>
    <row r="73" spans="4:28" x14ac:dyDescent="0.2">
      <c r="D73" s="3"/>
      <c r="F73" s="3"/>
      <c r="H73" s="3"/>
    </row>
    <row r="74" spans="4:28" x14ac:dyDescent="0.2">
      <c r="D74" s="3"/>
      <c r="F74" s="3"/>
      <c r="H74" s="3"/>
    </row>
    <row r="75" spans="4:28" x14ac:dyDescent="0.2">
      <c r="D75" s="3"/>
      <c r="F75" s="3"/>
      <c r="H75" s="3"/>
    </row>
    <row r="76" spans="4:28" x14ac:dyDescent="0.2">
      <c r="D76" s="3"/>
      <c r="F76" s="3"/>
      <c r="H76" s="3"/>
    </row>
    <row r="77" spans="4:28" x14ac:dyDescent="0.2">
      <c r="D77" s="3"/>
      <c r="F77" s="3"/>
      <c r="H77" s="3"/>
    </row>
    <row r="78" spans="4:28" x14ac:dyDescent="0.2">
      <c r="D78" s="3"/>
      <c r="F78" s="3"/>
      <c r="H78" s="3"/>
    </row>
    <row r="79" spans="4:28" x14ac:dyDescent="0.2">
      <c r="D79" s="3"/>
      <c r="F79" s="3"/>
      <c r="H79" s="3"/>
    </row>
    <row r="80" spans="4:28" x14ac:dyDescent="0.2">
      <c r="D80" s="3"/>
      <c r="F80" s="3"/>
      <c r="H80" s="3"/>
    </row>
    <row r="81" spans="4:8" x14ac:dyDescent="0.2">
      <c r="D81" s="3"/>
      <c r="F81" s="3"/>
      <c r="H81" s="3"/>
    </row>
    <row r="82" spans="4:8" x14ac:dyDescent="0.2">
      <c r="D82" s="3"/>
      <c r="F82" s="3"/>
      <c r="H82" s="3"/>
    </row>
    <row r="83" spans="4:8" x14ac:dyDescent="0.2">
      <c r="D83" s="3"/>
      <c r="F83" s="3"/>
      <c r="H83" s="3"/>
    </row>
    <row r="84" spans="4:8" x14ac:dyDescent="0.2">
      <c r="D84" s="3"/>
      <c r="F84" s="3"/>
      <c r="H84" s="3"/>
    </row>
    <row r="85" spans="4:8" x14ac:dyDescent="0.2">
      <c r="D85" s="3"/>
      <c r="F85" s="3"/>
      <c r="H85" s="3"/>
    </row>
    <row r="86" spans="4:8" x14ac:dyDescent="0.2">
      <c r="F86" s="3"/>
      <c r="H86" s="3"/>
    </row>
    <row r="87" spans="4:8" x14ac:dyDescent="0.2">
      <c r="F87" s="3"/>
      <c r="H87" s="3"/>
    </row>
    <row r="88" spans="4:8" x14ac:dyDescent="0.2">
      <c r="F88" s="3"/>
      <c r="H88" s="3"/>
    </row>
    <row r="89" spans="4:8" x14ac:dyDescent="0.2">
      <c r="F89" s="3"/>
      <c r="H89" s="3"/>
    </row>
    <row r="90" spans="4:8" x14ac:dyDescent="0.2">
      <c r="F90" s="3"/>
      <c r="H90" s="3"/>
    </row>
    <row r="91" spans="4:8" x14ac:dyDescent="0.2">
      <c r="F91" s="3"/>
      <c r="H91" s="3"/>
    </row>
    <row r="92" spans="4:8" x14ac:dyDescent="0.2">
      <c r="F92" s="3"/>
      <c r="H92" s="3"/>
    </row>
    <row r="93" spans="4:8" x14ac:dyDescent="0.2">
      <c r="F93" s="3"/>
      <c r="H93" s="3"/>
    </row>
    <row r="94" spans="4:8" x14ac:dyDescent="0.2">
      <c r="F94" s="3"/>
      <c r="H94" s="3"/>
    </row>
    <row r="95" spans="4:8" x14ac:dyDescent="0.2">
      <c r="H95" s="3"/>
    </row>
  </sheetData>
  <mergeCells count="30">
    <mergeCell ref="R30:S30"/>
    <mergeCell ref="T30:U30"/>
    <mergeCell ref="V30:W30"/>
    <mergeCell ref="X30:Y30"/>
    <mergeCell ref="B30:C30"/>
    <mergeCell ref="D30:E30"/>
    <mergeCell ref="F30:G30"/>
    <mergeCell ref="H30:I30"/>
    <mergeCell ref="J30:K30"/>
    <mergeCell ref="D1:G1"/>
    <mergeCell ref="B2:C2"/>
    <mergeCell ref="D2:E2"/>
    <mergeCell ref="F2:G2"/>
    <mergeCell ref="H2:I2"/>
    <mergeCell ref="T2:U2"/>
    <mergeCell ref="V2:W2"/>
    <mergeCell ref="X2:Y2"/>
    <mergeCell ref="D42:G42"/>
    <mergeCell ref="R2:S2"/>
    <mergeCell ref="D8:G8"/>
    <mergeCell ref="D26:G26"/>
    <mergeCell ref="J2:K2"/>
    <mergeCell ref="D31:G31"/>
    <mergeCell ref="D36:G36"/>
    <mergeCell ref="L2:M2"/>
    <mergeCell ref="N2:O2"/>
    <mergeCell ref="P2:Q2"/>
    <mergeCell ref="L30:M30"/>
    <mergeCell ref="N30:O30"/>
    <mergeCell ref="P30:Q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ABC9-2B97-B641-BC2F-CEF8F617E4A6}">
  <dimension ref="A1:D23"/>
  <sheetViews>
    <sheetView zoomScale="186" workbookViewId="0">
      <selection activeCell="B1" sqref="B1"/>
    </sheetView>
  </sheetViews>
  <sheetFormatPr baseColWidth="10" defaultRowHeight="15" x14ac:dyDescent="0.2"/>
  <cols>
    <col min="1" max="1" width="14.33203125" customWidth="1"/>
    <col min="2" max="2" width="16" customWidth="1"/>
    <col min="3" max="3" width="15.83203125" customWidth="1"/>
  </cols>
  <sheetData>
    <row r="1" spans="1:4" x14ac:dyDescent="0.2">
      <c r="B1" t="s">
        <v>30</v>
      </c>
    </row>
    <row r="2" spans="1:4" x14ac:dyDescent="0.2">
      <c r="A2" t="s">
        <v>25</v>
      </c>
      <c r="B2" t="s">
        <v>26</v>
      </c>
      <c r="C2" t="s">
        <v>27</v>
      </c>
      <c r="D2" t="s">
        <v>28</v>
      </c>
    </row>
    <row r="3" spans="1:4" x14ac:dyDescent="0.2">
      <c r="A3" s="7" t="s">
        <v>29</v>
      </c>
      <c r="B3" s="7">
        <v>26.3</v>
      </c>
      <c r="C3">
        <v>18.329999999999998</v>
      </c>
    </row>
    <row r="4" spans="1:4" x14ac:dyDescent="0.2">
      <c r="A4" s="7" t="s">
        <v>2</v>
      </c>
      <c r="B4">
        <v>9.6</v>
      </c>
      <c r="C4">
        <v>6.3</v>
      </c>
    </row>
    <row r="5" spans="1:4" x14ac:dyDescent="0.2">
      <c r="A5" s="7" t="s">
        <v>3</v>
      </c>
      <c r="B5" s="7">
        <v>11</v>
      </c>
      <c r="C5" s="7">
        <v>8.3699999999999992</v>
      </c>
    </row>
    <row r="6" spans="1:4" x14ac:dyDescent="0.2">
      <c r="A6" s="7" t="s">
        <v>4</v>
      </c>
      <c r="B6" s="7">
        <v>13.25</v>
      </c>
      <c r="C6">
        <v>3.45</v>
      </c>
    </row>
    <row r="7" spans="1:4" x14ac:dyDescent="0.2">
      <c r="A7" s="7" t="s">
        <v>5</v>
      </c>
      <c r="B7">
        <v>12.2</v>
      </c>
      <c r="C7">
        <v>6.17</v>
      </c>
    </row>
    <row r="8" spans="1:4" x14ac:dyDescent="0.2">
      <c r="A8" s="7" t="s">
        <v>6</v>
      </c>
      <c r="B8" s="7">
        <v>6.35</v>
      </c>
      <c r="C8" s="7">
        <v>7.73</v>
      </c>
    </row>
    <row r="9" spans="1:4" x14ac:dyDescent="0.2">
      <c r="A9" s="7" t="s">
        <v>7</v>
      </c>
      <c r="B9" s="7">
        <v>10.35</v>
      </c>
      <c r="C9">
        <v>2.75</v>
      </c>
    </row>
    <row r="10" spans="1:4" x14ac:dyDescent="0.2">
      <c r="A10" s="7" t="s">
        <v>8</v>
      </c>
      <c r="B10" s="7">
        <v>14.25</v>
      </c>
      <c r="C10" s="7">
        <v>10.199999999999999</v>
      </c>
    </row>
    <row r="11" spans="1:4" x14ac:dyDescent="0.2">
      <c r="A11" s="7" t="s">
        <v>9</v>
      </c>
      <c r="B11" s="7">
        <v>11.4</v>
      </c>
      <c r="C11" s="7">
        <v>7.77</v>
      </c>
    </row>
    <row r="13" spans="1:4" x14ac:dyDescent="0.2">
      <c r="B13" t="s">
        <v>35</v>
      </c>
    </row>
    <row r="14" spans="1:4" x14ac:dyDescent="0.2">
      <c r="A14" t="s">
        <v>25</v>
      </c>
      <c r="B14" t="s">
        <v>26</v>
      </c>
      <c r="C14" t="s">
        <v>27</v>
      </c>
    </row>
    <row r="15" spans="1:4" x14ac:dyDescent="0.2">
      <c r="A15" s="7" t="s">
        <v>29</v>
      </c>
      <c r="B15" s="7"/>
    </row>
    <row r="16" spans="1:4" x14ac:dyDescent="0.2">
      <c r="A16" s="7" t="s">
        <v>2</v>
      </c>
    </row>
    <row r="17" spans="1:3" x14ac:dyDescent="0.2">
      <c r="A17" s="7" t="s">
        <v>3</v>
      </c>
      <c r="B17" s="7"/>
      <c r="C17" s="7"/>
    </row>
    <row r="18" spans="1:3" x14ac:dyDescent="0.2">
      <c r="A18" s="7" t="s">
        <v>4</v>
      </c>
      <c r="B18" s="7"/>
    </row>
    <row r="19" spans="1:3" x14ac:dyDescent="0.2">
      <c r="A19" s="7" t="s">
        <v>5</v>
      </c>
    </row>
    <row r="20" spans="1:3" x14ac:dyDescent="0.2">
      <c r="A20" s="7" t="s">
        <v>6</v>
      </c>
      <c r="B20" s="7"/>
      <c r="C20" s="7"/>
    </row>
    <row r="21" spans="1:3" x14ac:dyDescent="0.2">
      <c r="A21" s="7" t="s">
        <v>7</v>
      </c>
      <c r="B21" s="7"/>
    </row>
    <row r="22" spans="1:3" x14ac:dyDescent="0.2">
      <c r="A22" s="7" t="s">
        <v>8</v>
      </c>
      <c r="B22" s="7"/>
      <c r="C22" s="7"/>
    </row>
    <row r="23" spans="1:3" x14ac:dyDescent="0.2">
      <c r="A23" s="7" t="s">
        <v>9</v>
      </c>
      <c r="B23" s="7"/>
      <c r="C23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0A85-8C3A-0B4A-AA61-8051177A207C}">
  <dimension ref="A1:H49"/>
  <sheetViews>
    <sheetView zoomScale="135" workbookViewId="0">
      <selection activeCell="C10" sqref="C10"/>
    </sheetView>
  </sheetViews>
  <sheetFormatPr baseColWidth="10" defaultRowHeight="15" x14ac:dyDescent="0.2"/>
  <cols>
    <col min="1" max="1" width="20.83203125" customWidth="1"/>
    <col min="2" max="3" width="17.83203125" customWidth="1"/>
    <col min="6" max="6" width="10.83203125" style="3"/>
  </cols>
  <sheetData>
    <row r="1" spans="1:8" x14ac:dyDescent="0.2">
      <c r="A1" s="11" t="s">
        <v>41</v>
      </c>
      <c r="B1" s="11" t="s">
        <v>42</v>
      </c>
      <c r="C1" s="11" t="s">
        <v>43</v>
      </c>
    </row>
    <row r="2" spans="1:8" x14ac:dyDescent="0.2">
      <c r="A2" s="12" t="s">
        <v>44</v>
      </c>
      <c r="B2" s="12" t="s">
        <v>45</v>
      </c>
      <c r="C2" s="12">
        <v>181.2</v>
      </c>
      <c r="D2" s="8" t="s">
        <v>4</v>
      </c>
      <c r="E2" s="12" t="s">
        <v>97</v>
      </c>
      <c r="F2" s="3">
        <f>AVERAGE(C2:C3)</f>
        <v>167.47499999999999</v>
      </c>
    </row>
    <row r="3" spans="1:8" x14ac:dyDescent="0.2">
      <c r="A3" s="12" t="s">
        <v>46</v>
      </c>
      <c r="B3" s="12" t="s">
        <v>45</v>
      </c>
      <c r="C3" s="12">
        <v>153.75</v>
      </c>
      <c r="D3" s="8"/>
      <c r="E3" t="s">
        <v>14</v>
      </c>
      <c r="F3" s="3">
        <f>AVERAGE(C4:C5)</f>
        <v>127.84</v>
      </c>
    </row>
    <row r="4" spans="1:8" x14ac:dyDescent="0.2">
      <c r="A4" s="12" t="s">
        <v>47</v>
      </c>
      <c r="B4" s="12" t="s">
        <v>45</v>
      </c>
      <c r="C4" s="12">
        <v>185.7</v>
      </c>
      <c r="D4" s="8"/>
      <c r="F4" s="3">
        <f>AVERAGE(F2:F3)</f>
        <v>147.6575</v>
      </c>
    </row>
    <row r="5" spans="1:8" x14ac:dyDescent="0.2">
      <c r="A5" s="12" t="s">
        <v>48</v>
      </c>
      <c r="B5" s="12" t="s">
        <v>49</v>
      </c>
      <c r="C5" s="12">
        <v>69.98</v>
      </c>
      <c r="D5" s="8"/>
      <c r="H5" t="s">
        <v>100</v>
      </c>
    </row>
    <row r="6" spans="1:8" x14ac:dyDescent="0.2">
      <c r="A6" s="12" t="s">
        <v>50</v>
      </c>
      <c r="B6" s="12" t="s">
        <v>51</v>
      </c>
      <c r="C6" s="12">
        <v>198.75</v>
      </c>
      <c r="D6" s="8" t="s">
        <v>98</v>
      </c>
      <c r="E6" s="12" t="s">
        <v>13</v>
      </c>
      <c r="F6" s="13">
        <v>198.75</v>
      </c>
    </row>
    <row r="7" spans="1:8" x14ac:dyDescent="0.2">
      <c r="A7" s="12" t="s">
        <v>52</v>
      </c>
      <c r="B7" s="12" t="s">
        <v>53</v>
      </c>
      <c r="C7" s="12">
        <v>310.39999999999998</v>
      </c>
      <c r="D7" s="8"/>
      <c r="E7" t="s">
        <v>14</v>
      </c>
      <c r="F7" s="3">
        <f>AVERAGE(C7:C10)</f>
        <v>235.785</v>
      </c>
    </row>
    <row r="8" spans="1:8" x14ac:dyDescent="0.2">
      <c r="A8" s="12" t="s">
        <v>54</v>
      </c>
      <c r="B8" s="12" t="s">
        <v>51</v>
      </c>
      <c r="C8" s="12">
        <v>253.12</v>
      </c>
      <c r="D8" s="8"/>
      <c r="F8" s="3">
        <f>AVERAGE(F6:F7)</f>
        <v>217.26749999999998</v>
      </c>
    </row>
    <row r="9" spans="1:8" x14ac:dyDescent="0.2">
      <c r="A9" s="12" t="s">
        <v>55</v>
      </c>
      <c r="B9" s="12" t="s">
        <v>51</v>
      </c>
      <c r="C9" s="12">
        <v>195.87</v>
      </c>
      <c r="D9" s="8"/>
    </row>
    <row r="10" spans="1:8" x14ac:dyDescent="0.2">
      <c r="A10" s="12" t="s">
        <v>56</v>
      </c>
      <c r="B10" s="12" t="s">
        <v>45</v>
      </c>
      <c r="C10" s="12">
        <v>183.75</v>
      </c>
      <c r="D10" s="8"/>
    </row>
    <row r="11" spans="1:8" x14ac:dyDescent="0.2">
      <c r="A11" s="12" t="s">
        <v>57</v>
      </c>
      <c r="B11" s="12" t="s">
        <v>58</v>
      </c>
      <c r="C11" s="12">
        <v>147.37</v>
      </c>
      <c r="D11" s="8" t="s">
        <v>8</v>
      </c>
      <c r="E11" s="12" t="s">
        <v>13</v>
      </c>
      <c r="F11" s="3">
        <f>AVERAGE(C11:C12)</f>
        <v>167.48500000000001</v>
      </c>
    </row>
    <row r="12" spans="1:8" x14ac:dyDescent="0.2">
      <c r="A12" s="12" t="s">
        <v>59</v>
      </c>
      <c r="B12" s="12" t="s">
        <v>45</v>
      </c>
      <c r="C12" s="12">
        <v>187.6</v>
      </c>
      <c r="D12" s="8"/>
      <c r="E12" t="s">
        <v>14</v>
      </c>
      <c r="F12" s="3">
        <f>AVERAGE(C13:C15)</f>
        <v>152.48999999999998</v>
      </c>
    </row>
    <row r="13" spans="1:8" x14ac:dyDescent="0.2">
      <c r="A13" s="12" t="s">
        <v>60</v>
      </c>
      <c r="B13" s="12" t="s">
        <v>45</v>
      </c>
      <c r="C13" s="12">
        <v>152.9</v>
      </c>
      <c r="D13" s="8"/>
      <c r="F13" s="3">
        <f>AVERAGE(F11:F12)</f>
        <v>159.98750000000001</v>
      </c>
    </row>
    <row r="14" spans="1:8" x14ac:dyDescent="0.2">
      <c r="A14" s="12" t="s">
        <v>61</v>
      </c>
      <c r="B14" s="12" t="s">
        <v>45</v>
      </c>
      <c r="C14" s="12">
        <v>149.87</v>
      </c>
      <c r="D14" s="8"/>
    </row>
    <row r="15" spans="1:8" x14ac:dyDescent="0.2">
      <c r="A15" s="12" t="s">
        <v>62</v>
      </c>
      <c r="B15" s="12" t="s">
        <v>45</v>
      </c>
      <c r="C15" s="12">
        <v>154.69999999999999</v>
      </c>
      <c r="D15" s="8"/>
    </row>
    <row r="16" spans="1:8" x14ac:dyDescent="0.2">
      <c r="A16" s="12" t="s">
        <v>63</v>
      </c>
      <c r="B16" s="12" t="s">
        <v>51</v>
      </c>
      <c r="C16" s="12">
        <v>202.4</v>
      </c>
      <c r="D16" s="8" t="s">
        <v>2</v>
      </c>
      <c r="E16" s="12" t="s">
        <v>13</v>
      </c>
      <c r="F16" s="3">
        <f>AVERAGE(C16:C19)</f>
        <v>206.9025</v>
      </c>
    </row>
    <row r="17" spans="1:6" x14ac:dyDescent="0.2">
      <c r="A17" s="12" t="s">
        <v>64</v>
      </c>
      <c r="B17" s="12" t="s">
        <v>51</v>
      </c>
      <c r="C17" s="12">
        <v>199.12</v>
      </c>
      <c r="D17" s="8"/>
      <c r="E17" t="s">
        <v>14</v>
      </c>
      <c r="F17" s="3">
        <f>AVERAGE(C20:C21)</f>
        <v>151.285</v>
      </c>
    </row>
    <row r="18" spans="1:6" x14ac:dyDescent="0.2">
      <c r="A18" s="12" t="s">
        <v>65</v>
      </c>
      <c r="B18" s="12" t="s">
        <v>45</v>
      </c>
      <c r="C18" s="12">
        <v>188.2</v>
      </c>
      <c r="D18" s="8"/>
      <c r="F18" s="3">
        <f>AVERAGE(F16:F17)</f>
        <v>179.09375</v>
      </c>
    </row>
    <row r="19" spans="1:6" x14ac:dyDescent="0.2">
      <c r="A19" s="12" t="s">
        <v>66</v>
      </c>
      <c r="B19" s="12" t="s">
        <v>51</v>
      </c>
      <c r="C19" s="12">
        <v>237.89</v>
      </c>
      <c r="D19" s="8"/>
    </row>
    <row r="20" spans="1:6" x14ac:dyDescent="0.2">
      <c r="A20" s="12" t="s">
        <v>67</v>
      </c>
      <c r="B20" s="12" t="s">
        <v>45</v>
      </c>
      <c r="C20" s="12">
        <v>153.69999999999999</v>
      </c>
      <c r="D20" s="8"/>
    </row>
    <row r="21" spans="1:6" x14ac:dyDescent="0.2">
      <c r="A21" s="12" t="s">
        <v>68</v>
      </c>
      <c r="B21" s="12" t="s">
        <v>45</v>
      </c>
      <c r="C21" s="12">
        <v>148.87</v>
      </c>
      <c r="D21" s="8"/>
    </row>
    <row r="22" spans="1:6" x14ac:dyDescent="0.2">
      <c r="A22" s="12" t="s">
        <v>69</v>
      </c>
      <c r="B22" s="12" t="s">
        <v>45</v>
      </c>
      <c r="C22" s="12">
        <v>183.47</v>
      </c>
      <c r="D22" s="8" t="s">
        <v>7</v>
      </c>
      <c r="E22" s="12" t="s">
        <v>13</v>
      </c>
      <c r="F22" s="3">
        <f>AVERAGE(C22:C23)</f>
        <v>184.285</v>
      </c>
    </row>
    <row r="23" spans="1:6" x14ac:dyDescent="0.2">
      <c r="A23" s="12" t="s">
        <v>70</v>
      </c>
      <c r="B23" s="12" t="s">
        <v>45</v>
      </c>
      <c r="C23" s="12">
        <v>185.1</v>
      </c>
      <c r="D23" s="8"/>
      <c r="E23" t="s">
        <v>14</v>
      </c>
      <c r="F23" s="3">
        <f>AVERAGE(C24:C25)</f>
        <v>115.65</v>
      </c>
    </row>
    <row r="24" spans="1:6" x14ac:dyDescent="0.2">
      <c r="A24" s="12" t="s">
        <v>71</v>
      </c>
      <c r="B24" s="12" t="s">
        <v>49</v>
      </c>
      <c r="C24" s="12">
        <v>137.80000000000001</v>
      </c>
      <c r="D24" s="8"/>
      <c r="F24" s="3">
        <f>AVERAGE(F22:F23)</f>
        <v>149.9675</v>
      </c>
    </row>
    <row r="25" spans="1:6" x14ac:dyDescent="0.2">
      <c r="A25" s="12" t="s">
        <v>72</v>
      </c>
      <c r="B25" s="12" t="s">
        <v>49</v>
      </c>
      <c r="C25" s="12">
        <v>93.5</v>
      </c>
      <c r="D25" s="8"/>
    </row>
    <row r="26" spans="1:6" x14ac:dyDescent="0.2">
      <c r="A26" s="12" t="s">
        <v>73</v>
      </c>
      <c r="B26" s="12" t="s">
        <v>45</v>
      </c>
      <c r="C26" s="12">
        <v>180.78</v>
      </c>
      <c r="D26" s="8" t="s">
        <v>5</v>
      </c>
      <c r="E26" s="12" t="s">
        <v>13</v>
      </c>
      <c r="F26" s="3">
        <f>AVERAGE(C26:C27)</f>
        <v>180.39</v>
      </c>
    </row>
    <row r="27" spans="1:6" x14ac:dyDescent="0.2">
      <c r="A27" s="12" t="s">
        <v>74</v>
      </c>
      <c r="B27" s="12" t="s">
        <v>45</v>
      </c>
      <c r="C27" s="12">
        <v>180</v>
      </c>
      <c r="D27" s="8"/>
      <c r="E27" t="s">
        <v>14</v>
      </c>
      <c r="F27" s="3">
        <f>AVERAGE(C28:C32)</f>
        <v>138.458</v>
      </c>
    </row>
    <row r="28" spans="1:6" x14ac:dyDescent="0.2">
      <c r="A28" s="12" t="s">
        <v>75</v>
      </c>
      <c r="B28" s="12" t="s">
        <v>45</v>
      </c>
      <c r="C28" s="12">
        <v>178.13</v>
      </c>
      <c r="D28" s="8"/>
      <c r="F28" s="3">
        <f>AVERAGE(F26:F27)</f>
        <v>159.42399999999998</v>
      </c>
    </row>
    <row r="29" spans="1:6" x14ac:dyDescent="0.2">
      <c r="A29" s="12" t="s">
        <v>76</v>
      </c>
      <c r="B29" s="12" t="s">
        <v>45</v>
      </c>
      <c r="C29" s="12">
        <v>110.07</v>
      </c>
      <c r="D29" s="8"/>
    </row>
    <row r="30" spans="1:6" x14ac:dyDescent="0.2">
      <c r="A30" s="12" t="s">
        <v>77</v>
      </c>
      <c r="B30" s="12" t="s">
        <v>45</v>
      </c>
      <c r="C30" s="12">
        <v>121.47</v>
      </c>
      <c r="D30" s="8"/>
    </row>
    <row r="31" spans="1:6" x14ac:dyDescent="0.2">
      <c r="A31" s="12" t="s">
        <v>78</v>
      </c>
      <c r="B31" s="12" t="s">
        <v>45</v>
      </c>
      <c r="C31" s="12">
        <v>93.87</v>
      </c>
      <c r="D31" s="8"/>
    </row>
    <row r="32" spans="1:6" x14ac:dyDescent="0.2">
      <c r="A32" s="12" t="s">
        <v>79</v>
      </c>
      <c r="B32" s="12" t="s">
        <v>51</v>
      </c>
      <c r="C32" s="12">
        <v>188.75</v>
      </c>
      <c r="D32" s="8"/>
    </row>
    <row r="33" spans="1:6" x14ac:dyDescent="0.2">
      <c r="A33" s="12" t="s">
        <v>80</v>
      </c>
      <c r="B33" s="12" t="s">
        <v>53</v>
      </c>
      <c r="C33" s="12">
        <v>325</v>
      </c>
      <c r="D33" s="8" t="s">
        <v>9</v>
      </c>
      <c r="E33" s="12" t="s">
        <v>13</v>
      </c>
      <c r="F33" s="13">
        <v>325</v>
      </c>
    </row>
    <row r="34" spans="1:6" x14ac:dyDescent="0.2">
      <c r="A34" s="12" t="s">
        <v>81</v>
      </c>
      <c r="B34" s="12" t="s">
        <v>53</v>
      </c>
      <c r="C34" s="12">
        <v>314.5</v>
      </c>
      <c r="D34" s="8"/>
      <c r="E34" t="s">
        <v>14</v>
      </c>
      <c r="F34" s="3">
        <f>AVERAGE(C34:C38)</f>
        <v>235.71599999999998</v>
      </c>
    </row>
    <row r="35" spans="1:6" x14ac:dyDescent="0.2">
      <c r="A35" s="12" t="s">
        <v>82</v>
      </c>
      <c r="B35" s="12" t="s">
        <v>53</v>
      </c>
      <c r="C35" s="12">
        <v>237.1</v>
      </c>
      <c r="D35" s="8"/>
      <c r="F35" s="3">
        <f>AVERAGE(F33:F34)</f>
        <v>280.358</v>
      </c>
    </row>
    <row r="36" spans="1:6" x14ac:dyDescent="0.2">
      <c r="A36" s="12" t="s">
        <v>83</v>
      </c>
      <c r="B36" s="12" t="s">
        <v>53</v>
      </c>
      <c r="C36" s="12">
        <v>295.27999999999997</v>
      </c>
      <c r="D36" s="8"/>
    </row>
    <row r="37" spans="1:6" x14ac:dyDescent="0.2">
      <c r="A37" s="12" t="s">
        <v>84</v>
      </c>
      <c r="B37" s="12" t="s">
        <v>45</v>
      </c>
      <c r="C37" s="12">
        <v>150</v>
      </c>
      <c r="D37" s="8"/>
    </row>
    <row r="38" spans="1:6" x14ac:dyDescent="0.2">
      <c r="A38" s="12" t="s">
        <v>85</v>
      </c>
      <c r="B38" s="12" t="s">
        <v>45</v>
      </c>
      <c r="C38" s="12">
        <v>181.7</v>
      </c>
      <c r="D38" s="8"/>
    </row>
    <row r="39" spans="1:6" x14ac:dyDescent="0.2">
      <c r="A39" s="12" t="s">
        <v>86</v>
      </c>
      <c r="B39" s="12" t="s">
        <v>53</v>
      </c>
      <c r="C39" s="12">
        <v>244.37</v>
      </c>
      <c r="D39" s="8" t="s">
        <v>99</v>
      </c>
      <c r="E39" s="12" t="s">
        <v>13</v>
      </c>
      <c r="F39" s="3">
        <f>AVERAGE(C39:C40)</f>
        <v>271.495</v>
      </c>
    </row>
    <row r="40" spans="1:6" x14ac:dyDescent="0.2">
      <c r="A40" s="12" t="s">
        <v>87</v>
      </c>
      <c r="B40" s="12" t="s">
        <v>53</v>
      </c>
      <c r="C40" s="12">
        <v>298.62</v>
      </c>
      <c r="D40" s="8"/>
      <c r="E40" t="s">
        <v>14</v>
      </c>
      <c r="F40" s="3">
        <f>AVERAGE(C41:C44)</f>
        <v>159.8425</v>
      </c>
    </row>
    <row r="41" spans="1:6" x14ac:dyDescent="0.2">
      <c r="A41" s="12" t="s">
        <v>88</v>
      </c>
      <c r="B41" s="12" t="s">
        <v>53</v>
      </c>
      <c r="C41" s="12">
        <v>221.87</v>
      </c>
      <c r="D41" s="8"/>
      <c r="F41" s="3">
        <f>AVERAGE(F39:F40)</f>
        <v>215.66874999999999</v>
      </c>
    </row>
    <row r="42" spans="1:6" x14ac:dyDescent="0.2">
      <c r="A42" s="12" t="s">
        <v>89</v>
      </c>
      <c r="B42" s="12" t="s">
        <v>51</v>
      </c>
      <c r="C42" s="12">
        <v>146.87</v>
      </c>
      <c r="D42" s="8"/>
    </row>
    <row r="43" spans="1:6" x14ac:dyDescent="0.2">
      <c r="A43" s="12" t="s">
        <v>90</v>
      </c>
      <c r="B43" s="12" t="s">
        <v>49</v>
      </c>
      <c r="C43" s="12">
        <v>76.88</v>
      </c>
      <c r="D43" s="8"/>
    </row>
    <row r="44" spans="1:6" x14ac:dyDescent="0.2">
      <c r="A44" s="12" t="s">
        <v>91</v>
      </c>
      <c r="B44" s="12" t="s">
        <v>49</v>
      </c>
      <c r="C44" s="12">
        <v>193.75</v>
      </c>
      <c r="D44" s="8"/>
    </row>
    <row r="45" spans="1:6" x14ac:dyDescent="0.2">
      <c r="A45" s="12" t="s">
        <v>92</v>
      </c>
      <c r="B45" s="12" t="s">
        <v>51</v>
      </c>
      <c r="C45" s="12">
        <v>206.25</v>
      </c>
      <c r="D45" s="8" t="s">
        <v>6</v>
      </c>
      <c r="E45" s="12" t="s">
        <v>13</v>
      </c>
      <c r="F45" s="3">
        <f>AVERAGE(C45:C46)</f>
        <v>203.97499999999999</v>
      </c>
    </row>
    <row r="46" spans="1:6" x14ac:dyDescent="0.2">
      <c r="A46" s="12" t="s">
        <v>93</v>
      </c>
      <c r="B46" s="12" t="s">
        <v>51</v>
      </c>
      <c r="C46" s="12">
        <v>201.7</v>
      </c>
      <c r="D46" s="8"/>
      <c r="E46" t="s">
        <v>14</v>
      </c>
      <c r="F46" s="3">
        <f>AVERAGE(C47:C49)</f>
        <v>241.66333333333333</v>
      </c>
    </row>
    <row r="47" spans="1:6" x14ac:dyDescent="0.2">
      <c r="A47" s="12" t="s">
        <v>94</v>
      </c>
      <c r="B47" s="12" t="s">
        <v>51</v>
      </c>
      <c r="C47" s="12">
        <v>209.37</v>
      </c>
      <c r="D47" s="8"/>
      <c r="F47" s="3">
        <f>AVERAGE(F45:F46)</f>
        <v>222.81916666666666</v>
      </c>
    </row>
    <row r="48" spans="1:6" x14ac:dyDescent="0.2">
      <c r="A48" s="12" t="s">
        <v>95</v>
      </c>
      <c r="B48" s="12" t="s">
        <v>53</v>
      </c>
      <c r="C48" s="12">
        <v>268.75</v>
      </c>
      <c r="D48" s="8"/>
    </row>
    <row r="49" spans="1:4" x14ac:dyDescent="0.2">
      <c r="A49" s="12" t="s">
        <v>96</v>
      </c>
      <c r="B49" s="12" t="s">
        <v>53</v>
      </c>
      <c r="C49" s="12">
        <v>246.87</v>
      </c>
      <c r="D4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007B-6BF3-8A45-8615-B42001C66138}">
  <dimension ref="A1:Z20"/>
  <sheetViews>
    <sheetView workbookViewId="0">
      <selection sqref="A1:Z20"/>
    </sheetView>
  </sheetViews>
  <sheetFormatPr baseColWidth="10" defaultRowHeight="15" x14ac:dyDescent="0.2"/>
  <cols>
    <col min="2" max="2" width="19.1640625" customWidth="1"/>
  </cols>
  <sheetData>
    <row r="1" spans="1:26" ht="16" x14ac:dyDescent="0.2">
      <c r="A1" t="s">
        <v>104</v>
      </c>
      <c r="C1" s="22" t="s">
        <v>1</v>
      </c>
      <c r="D1" s="22"/>
      <c r="E1" s="22" t="s">
        <v>2</v>
      </c>
      <c r="F1" s="22"/>
      <c r="G1" s="22" t="s">
        <v>3</v>
      </c>
      <c r="H1" s="22"/>
      <c r="I1" s="22" t="s">
        <v>4</v>
      </c>
      <c r="J1" s="22"/>
      <c r="K1" s="22" t="s">
        <v>5</v>
      </c>
      <c r="L1" s="22"/>
      <c r="M1" s="22" t="s">
        <v>6</v>
      </c>
      <c r="N1" s="22"/>
      <c r="O1" s="22" t="s">
        <v>7</v>
      </c>
      <c r="P1" s="22"/>
      <c r="Q1" s="22" t="s">
        <v>8</v>
      </c>
      <c r="R1" s="22"/>
      <c r="S1" s="22" t="s">
        <v>9</v>
      </c>
      <c r="T1" s="23"/>
      <c r="U1" s="18" t="s">
        <v>36</v>
      </c>
      <c r="V1" s="18"/>
      <c r="W1" s="18" t="s">
        <v>38</v>
      </c>
      <c r="X1" s="18"/>
      <c r="Y1" s="18" t="s">
        <v>39</v>
      </c>
      <c r="Z1" s="18"/>
    </row>
    <row r="2" spans="1:26" x14ac:dyDescent="0.2">
      <c r="C2" t="s">
        <v>10</v>
      </c>
      <c r="D2" t="s">
        <v>11</v>
      </c>
      <c r="E2" t="s">
        <v>10</v>
      </c>
      <c r="F2" t="s">
        <v>11</v>
      </c>
      <c r="G2" t="s">
        <v>10</v>
      </c>
      <c r="H2" t="s">
        <v>11</v>
      </c>
      <c r="I2" t="s">
        <v>10</v>
      </c>
      <c r="J2" t="s">
        <v>11</v>
      </c>
      <c r="K2" t="s">
        <v>10</v>
      </c>
      <c r="L2" t="s">
        <v>11</v>
      </c>
      <c r="M2" t="s">
        <v>10</v>
      </c>
      <c r="N2" t="s">
        <v>11</v>
      </c>
      <c r="O2" t="s">
        <v>10</v>
      </c>
      <c r="P2" t="s">
        <v>11</v>
      </c>
      <c r="Q2" t="s">
        <v>10</v>
      </c>
      <c r="R2" t="s">
        <v>11</v>
      </c>
      <c r="S2" t="s">
        <v>10</v>
      </c>
      <c r="T2" t="s">
        <v>11</v>
      </c>
      <c r="U2" t="s">
        <v>105</v>
      </c>
      <c r="V2" t="s">
        <v>11</v>
      </c>
      <c r="W2" t="s">
        <v>10</v>
      </c>
      <c r="X2" t="s">
        <v>11</v>
      </c>
      <c r="Y2" t="s">
        <v>105</v>
      </c>
      <c r="Z2" t="s">
        <v>11</v>
      </c>
    </row>
    <row r="3" spans="1:26" x14ac:dyDescent="0.2">
      <c r="A3" t="s">
        <v>106</v>
      </c>
      <c r="B3" t="s">
        <v>13</v>
      </c>
      <c r="C3">
        <v>4.0999999999999996</v>
      </c>
      <c r="D3">
        <v>4.8</v>
      </c>
      <c r="E3">
        <v>5.39</v>
      </c>
      <c r="F3">
        <v>5.18</v>
      </c>
      <c r="G3">
        <v>5.86</v>
      </c>
      <c r="H3">
        <v>5.25</v>
      </c>
      <c r="I3">
        <v>4.34</v>
      </c>
      <c r="J3">
        <v>5.6</v>
      </c>
      <c r="K3">
        <v>4.0199999999999996</v>
      </c>
      <c r="L3">
        <v>4.4000000000000004</v>
      </c>
      <c r="M3">
        <v>5.25</v>
      </c>
      <c r="N3">
        <v>4.7</v>
      </c>
      <c r="O3">
        <v>4.1900000000000004</v>
      </c>
      <c r="P3">
        <v>4.1500000000000004</v>
      </c>
      <c r="Q3">
        <v>4.3099999999999996</v>
      </c>
      <c r="R3">
        <v>4.8</v>
      </c>
      <c r="S3">
        <v>5.24</v>
      </c>
      <c r="T3">
        <v>5.05</v>
      </c>
      <c r="U3">
        <v>5.08</v>
      </c>
      <c r="W3">
        <v>5.6</v>
      </c>
      <c r="Y3">
        <v>6.86</v>
      </c>
    </row>
    <row r="4" spans="1:26" x14ac:dyDescent="0.2">
      <c r="A4" t="s">
        <v>106</v>
      </c>
      <c r="B4" t="s">
        <v>14</v>
      </c>
      <c r="C4">
        <v>3.97</v>
      </c>
      <c r="D4">
        <v>5.4</v>
      </c>
      <c r="E4">
        <v>6.14</v>
      </c>
      <c r="F4">
        <v>5.28</v>
      </c>
      <c r="G4">
        <v>6.54</v>
      </c>
      <c r="H4">
        <v>5.73</v>
      </c>
      <c r="I4">
        <v>5.28</v>
      </c>
      <c r="J4">
        <v>0</v>
      </c>
      <c r="K4">
        <v>5.54</v>
      </c>
      <c r="L4">
        <v>5.73</v>
      </c>
      <c r="M4">
        <v>5.83</v>
      </c>
      <c r="N4">
        <v>6.7</v>
      </c>
      <c r="O4">
        <v>5.22</v>
      </c>
      <c r="P4">
        <v>3.6</v>
      </c>
      <c r="Q4">
        <v>5.27</v>
      </c>
      <c r="R4">
        <v>4.7699999999999996</v>
      </c>
      <c r="S4">
        <v>6.47</v>
      </c>
      <c r="T4">
        <v>5.67</v>
      </c>
      <c r="U4">
        <v>4.91</v>
      </c>
      <c r="W4">
        <v>5.81</v>
      </c>
      <c r="Y4">
        <v>6.67</v>
      </c>
    </row>
    <row r="5" spans="1:26" x14ac:dyDescent="0.2">
      <c r="A5" t="s">
        <v>107</v>
      </c>
      <c r="B5" t="s">
        <v>13</v>
      </c>
      <c r="C5">
        <v>0.15</v>
      </c>
      <c r="D5">
        <v>0.16</v>
      </c>
      <c r="E5">
        <v>0.12</v>
      </c>
      <c r="F5">
        <v>0.08</v>
      </c>
      <c r="G5">
        <v>0.11</v>
      </c>
      <c r="H5">
        <v>0.1</v>
      </c>
      <c r="I5">
        <v>0.11</v>
      </c>
      <c r="J5">
        <v>0.42</v>
      </c>
      <c r="K5">
        <v>0.13</v>
      </c>
      <c r="L5">
        <v>0.19</v>
      </c>
      <c r="M5">
        <v>0.1</v>
      </c>
      <c r="N5">
        <v>0.19</v>
      </c>
      <c r="O5">
        <v>0.12</v>
      </c>
      <c r="P5">
        <v>0.39</v>
      </c>
      <c r="Q5">
        <v>0.13</v>
      </c>
      <c r="R5">
        <v>0.17</v>
      </c>
      <c r="S5">
        <v>0.13</v>
      </c>
      <c r="T5">
        <v>0.26</v>
      </c>
      <c r="U5">
        <v>7.0000000000000007E-2</v>
      </c>
      <c r="W5">
        <v>7.0000000000000007E-2</v>
      </c>
      <c r="Y5">
        <v>0.08</v>
      </c>
    </row>
    <row r="6" spans="1:26" x14ac:dyDescent="0.2">
      <c r="A6" t="s">
        <v>107</v>
      </c>
      <c r="B6" t="s">
        <v>14</v>
      </c>
      <c r="C6">
        <v>0.08</v>
      </c>
      <c r="D6">
        <v>7.0000000000000007E-2</v>
      </c>
      <c r="E6">
        <v>0.08</v>
      </c>
      <c r="F6">
        <v>0.06</v>
      </c>
      <c r="G6">
        <v>0.09</v>
      </c>
      <c r="H6">
        <v>0.08</v>
      </c>
      <c r="I6">
        <v>0.04</v>
      </c>
      <c r="J6">
        <v>0.49</v>
      </c>
      <c r="K6">
        <v>7.0000000000000007E-2</v>
      </c>
      <c r="L6">
        <v>0.09</v>
      </c>
      <c r="M6">
        <v>7.0000000000000007E-2</v>
      </c>
      <c r="N6">
        <v>0.1</v>
      </c>
      <c r="O6">
        <v>0.13</v>
      </c>
      <c r="P6">
        <v>0.49</v>
      </c>
      <c r="Q6">
        <v>0.08</v>
      </c>
      <c r="R6">
        <v>0.18</v>
      </c>
      <c r="S6">
        <v>0.12</v>
      </c>
      <c r="T6">
        <v>0.1</v>
      </c>
      <c r="U6">
        <v>0.03</v>
      </c>
      <c r="W6">
        <v>0.09</v>
      </c>
      <c r="Y6">
        <v>7.0000000000000007E-2</v>
      </c>
    </row>
    <row r="7" spans="1:26" x14ac:dyDescent="0.2">
      <c r="A7" t="s">
        <v>53</v>
      </c>
      <c r="B7" t="s">
        <v>13</v>
      </c>
      <c r="C7">
        <v>55.44</v>
      </c>
      <c r="D7">
        <v>56</v>
      </c>
      <c r="E7">
        <v>49.63</v>
      </c>
      <c r="F7">
        <v>17.45</v>
      </c>
      <c r="G7">
        <v>67.56</v>
      </c>
      <c r="H7">
        <v>21</v>
      </c>
      <c r="I7">
        <v>33.56</v>
      </c>
      <c r="J7">
        <v>16.5</v>
      </c>
      <c r="K7">
        <v>35.96</v>
      </c>
      <c r="L7">
        <v>57.5</v>
      </c>
      <c r="M7">
        <v>48.88</v>
      </c>
      <c r="N7">
        <v>74</v>
      </c>
      <c r="O7">
        <v>37.270000000000003</v>
      </c>
      <c r="P7">
        <v>36.200000000000003</v>
      </c>
      <c r="Q7">
        <v>31.69</v>
      </c>
      <c r="R7">
        <v>58.5</v>
      </c>
      <c r="S7">
        <v>72.2</v>
      </c>
      <c r="T7">
        <v>73.5</v>
      </c>
      <c r="U7">
        <v>42.33</v>
      </c>
      <c r="W7">
        <v>50</v>
      </c>
      <c r="Y7">
        <v>6</v>
      </c>
    </row>
    <row r="8" spans="1:26" x14ac:dyDescent="0.2">
      <c r="A8" t="s">
        <v>53</v>
      </c>
      <c r="B8" t="s">
        <v>14</v>
      </c>
      <c r="C8">
        <v>46.66</v>
      </c>
      <c r="D8">
        <v>40.33</v>
      </c>
      <c r="E8">
        <v>41.66</v>
      </c>
      <c r="F8">
        <v>20.63</v>
      </c>
      <c r="G8">
        <v>39.24</v>
      </c>
      <c r="H8">
        <v>25.67</v>
      </c>
      <c r="I8">
        <v>28.57</v>
      </c>
      <c r="J8">
        <v>5.5</v>
      </c>
      <c r="K8">
        <v>32.700000000000003</v>
      </c>
      <c r="L8">
        <v>41.33</v>
      </c>
      <c r="M8">
        <v>63.41</v>
      </c>
      <c r="N8">
        <v>48.33</v>
      </c>
      <c r="O8">
        <v>23.26</v>
      </c>
      <c r="P8">
        <v>26.35</v>
      </c>
      <c r="Q8">
        <v>29.5</v>
      </c>
      <c r="R8">
        <v>50.67</v>
      </c>
      <c r="S8">
        <v>53.34</v>
      </c>
      <c r="T8">
        <v>47.67</v>
      </c>
      <c r="U8">
        <v>36</v>
      </c>
      <c r="W8">
        <v>61.67</v>
      </c>
      <c r="Y8">
        <v>6</v>
      </c>
    </row>
    <row r="9" spans="1:26" x14ac:dyDescent="0.2">
      <c r="A9" t="s">
        <v>108</v>
      </c>
      <c r="B9" t="s">
        <v>13</v>
      </c>
      <c r="C9">
        <v>1.56</v>
      </c>
      <c r="D9">
        <v>2.56</v>
      </c>
      <c r="E9">
        <v>2.0499999999999998</v>
      </c>
      <c r="F9">
        <v>1.88</v>
      </c>
      <c r="G9">
        <v>1.37</v>
      </c>
      <c r="H9">
        <v>2.11</v>
      </c>
      <c r="I9">
        <v>1.66</v>
      </c>
      <c r="J9">
        <v>1.46</v>
      </c>
      <c r="K9">
        <v>1.69</v>
      </c>
      <c r="L9">
        <v>1.71</v>
      </c>
      <c r="M9">
        <v>1.61</v>
      </c>
      <c r="N9">
        <v>2.91</v>
      </c>
      <c r="O9">
        <v>1.86</v>
      </c>
      <c r="P9">
        <v>1.96</v>
      </c>
      <c r="Q9">
        <v>1.84</v>
      </c>
      <c r="R9">
        <v>2.6</v>
      </c>
      <c r="S9">
        <v>1.25</v>
      </c>
      <c r="T9">
        <v>2.82</v>
      </c>
      <c r="U9">
        <v>1.53</v>
      </c>
      <c r="W9">
        <v>1.67</v>
      </c>
      <c r="Y9">
        <v>1.48</v>
      </c>
    </row>
    <row r="10" spans="1:26" x14ac:dyDescent="0.2">
      <c r="A10" t="s">
        <v>108</v>
      </c>
      <c r="B10" t="s">
        <v>14</v>
      </c>
      <c r="C10">
        <v>1.78</v>
      </c>
      <c r="D10">
        <v>2.36</v>
      </c>
      <c r="E10">
        <v>2.0299999999999998</v>
      </c>
      <c r="F10">
        <v>1.9</v>
      </c>
      <c r="G10">
        <v>1.78</v>
      </c>
      <c r="H10">
        <v>2.04</v>
      </c>
      <c r="I10">
        <v>1.8</v>
      </c>
      <c r="J10">
        <v>1.1299999999999999</v>
      </c>
      <c r="K10">
        <v>2.08</v>
      </c>
      <c r="L10">
        <v>2.0499999999999998</v>
      </c>
      <c r="M10">
        <v>1.25</v>
      </c>
      <c r="N10">
        <v>2.38</v>
      </c>
      <c r="O10">
        <v>2</v>
      </c>
      <c r="P10">
        <v>1.7</v>
      </c>
      <c r="Q10">
        <v>2.0499999999999998</v>
      </c>
      <c r="R10">
        <v>2.4500000000000002</v>
      </c>
      <c r="S10">
        <v>1.58</v>
      </c>
      <c r="T10">
        <v>2.36</v>
      </c>
      <c r="U10">
        <v>1.44</v>
      </c>
      <c r="W10">
        <v>1.73</v>
      </c>
      <c r="Y10">
        <v>1.6</v>
      </c>
    </row>
    <row r="11" spans="1:26" x14ac:dyDescent="0.2">
      <c r="A11" t="s">
        <v>111</v>
      </c>
      <c r="B11" t="s">
        <v>13</v>
      </c>
      <c r="C11">
        <v>2.63</v>
      </c>
      <c r="D11">
        <v>1.23</v>
      </c>
      <c r="E11">
        <v>0.96</v>
      </c>
      <c r="F11">
        <v>0.57499999999999996</v>
      </c>
      <c r="G11">
        <v>1.1000000000000001</v>
      </c>
      <c r="H11">
        <v>0.88500000000000001</v>
      </c>
      <c r="I11">
        <v>1.325</v>
      </c>
      <c r="J11">
        <v>7.01</v>
      </c>
      <c r="K11">
        <v>1.22</v>
      </c>
      <c r="L11">
        <v>1.63</v>
      </c>
      <c r="M11">
        <v>0.63500000000000001</v>
      </c>
      <c r="N11">
        <v>1.7749999999999999</v>
      </c>
      <c r="O11">
        <v>1.0349999999999999</v>
      </c>
      <c r="P11">
        <v>4.2949999999999999</v>
      </c>
      <c r="Q11">
        <v>1.425</v>
      </c>
      <c r="R11">
        <v>1.4450000000000001</v>
      </c>
      <c r="S11">
        <v>1.1399999999999999</v>
      </c>
      <c r="T11">
        <v>3.2549999999999999</v>
      </c>
      <c r="U11">
        <v>0.79</v>
      </c>
      <c r="W11">
        <v>0.81</v>
      </c>
      <c r="Y11">
        <v>0.2</v>
      </c>
    </row>
    <row r="12" spans="1:26" x14ac:dyDescent="0.2">
      <c r="A12" t="s">
        <v>111</v>
      </c>
      <c r="B12" t="s">
        <v>14</v>
      </c>
      <c r="C12">
        <v>1.83</v>
      </c>
      <c r="D12">
        <v>0.41</v>
      </c>
      <c r="E12">
        <v>0.63</v>
      </c>
      <c r="F12">
        <v>0.38</v>
      </c>
      <c r="G12">
        <v>0.84</v>
      </c>
      <c r="H12">
        <v>0.66</v>
      </c>
      <c r="I12">
        <v>0.35</v>
      </c>
      <c r="J12">
        <v>12.99</v>
      </c>
      <c r="K12">
        <v>0.62</v>
      </c>
      <c r="L12">
        <v>0.68</v>
      </c>
      <c r="M12">
        <v>0.77</v>
      </c>
      <c r="N12">
        <v>1.32</v>
      </c>
      <c r="O12">
        <v>0.28000000000000003</v>
      </c>
      <c r="P12">
        <v>5.6</v>
      </c>
      <c r="Q12">
        <v>1.02</v>
      </c>
      <c r="R12">
        <v>1.2</v>
      </c>
      <c r="S12">
        <v>0.78</v>
      </c>
      <c r="T12">
        <v>1.37</v>
      </c>
      <c r="U12">
        <v>0.33</v>
      </c>
      <c r="W12">
        <v>0.53</v>
      </c>
      <c r="Y12">
        <v>0.16</v>
      </c>
    </row>
    <row r="13" spans="1:26" x14ac:dyDescent="0.2">
      <c r="A13" t="s">
        <v>112</v>
      </c>
      <c r="B13" t="s">
        <v>13</v>
      </c>
      <c r="C13">
        <v>26.3</v>
      </c>
      <c r="D13">
        <v>12.3</v>
      </c>
      <c r="E13">
        <v>9.6</v>
      </c>
      <c r="F13">
        <v>5.75</v>
      </c>
      <c r="G13">
        <v>11</v>
      </c>
      <c r="H13">
        <v>8.85</v>
      </c>
      <c r="I13">
        <v>13.25</v>
      </c>
      <c r="J13">
        <v>70.099999999999994</v>
      </c>
      <c r="K13">
        <v>12.2</v>
      </c>
      <c r="L13">
        <v>16.3</v>
      </c>
      <c r="M13">
        <v>6.35</v>
      </c>
      <c r="N13">
        <v>17.75</v>
      </c>
      <c r="O13">
        <v>10.35</v>
      </c>
      <c r="P13">
        <v>42.95</v>
      </c>
      <c r="Q13">
        <v>14.25</v>
      </c>
      <c r="R13">
        <v>14.45</v>
      </c>
      <c r="S13">
        <v>11.4</v>
      </c>
      <c r="T13">
        <v>32.549999999999997</v>
      </c>
      <c r="U13">
        <v>7.9</v>
      </c>
      <c r="W13">
        <v>8.1</v>
      </c>
      <c r="Y13">
        <v>2</v>
      </c>
    </row>
    <row r="14" spans="1:26" x14ac:dyDescent="0.2">
      <c r="A14" t="s">
        <v>112</v>
      </c>
      <c r="B14" t="s">
        <v>14</v>
      </c>
      <c r="C14">
        <v>18.329999999999998</v>
      </c>
      <c r="D14">
        <v>4.07</v>
      </c>
      <c r="E14">
        <v>6.3</v>
      </c>
      <c r="F14">
        <v>3.8</v>
      </c>
      <c r="G14">
        <v>8.3699999999999992</v>
      </c>
      <c r="H14">
        <v>6.6</v>
      </c>
      <c r="I14">
        <v>3.45</v>
      </c>
      <c r="J14">
        <v>129.9</v>
      </c>
      <c r="K14">
        <v>6.17</v>
      </c>
      <c r="L14">
        <v>6.8</v>
      </c>
      <c r="M14">
        <v>7.73</v>
      </c>
      <c r="N14">
        <v>13.15</v>
      </c>
      <c r="O14">
        <v>2.75</v>
      </c>
      <c r="P14">
        <v>56</v>
      </c>
      <c r="Q14">
        <v>10.199999999999999</v>
      </c>
      <c r="R14">
        <v>12</v>
      </c>
      <c r="S14">
        <v>7.77</v>
      </c>
      <c r="T14">
        <v>13.7</v>
      </c>
      <c r="U14">
        <v>3.3</v>
      </c>
      <c r="W14">
        <v>5.3</v>
      </c>
      <c r="Y14">
        <v>1.6</v>
      </c>
    </row>
    <row r="15" spans="1:26" x14ac:dyDescent="0.2">
      <c r="A15" s="8" t="s">
        <v>33</v>
      </c>
      <c r="B15" s="8"/>
      <c r="C15">
        <v>44.63</v>
      </c>
      <c r="D15">
        <v>16.37</v>
      </c>
      <c r="E15">
        <v>15.9</v>
      </c>
      <c r="F15">
        <v>9.5500000000000007</v>
      </c>
      <c r="G15">
        <v>19.37</v>
      </c>
      <c r="H15">
        <v>15.45</v>
      </c>
      <c r="I15">
        <v>16.7</v>
      </c>
      <c r="J15">
        <v>200</v>
      </c>
      <c r="K15">
        <v>18.37</v>
      </c>
      <c r="L15">
        <v>23.1</v>
      </c>
      <c r="M15">
        <v>14.08</v>
      </c>
      <c r="N15">
        <v>30.9</v>
      </c>
      <c r="O15">
        <v>13.1</v>
      </c>
      <c r="P15">
        <v>98.95</v>
      </c>
      <c r="Q15">
        <v>24.45</v>
      </c>
      <c r="R15">
        <v>26.45</v>
      </c>
      <c r="S15">
        <v>19.170000000000002</v>
      </c>
      <c r="T15">
        <v>46.25</v>
      </c>
      <c r="U15">
        <v>11.2</v>
      </c>
      <c r="W15">
        <v>13.4</v>
      </c>
      <c r="Y15">
        <v>3.6</v>
      </c>
    </row>
    <row r="16" spans="1:26" x14ac:dyDescent="0.2">
      <c r="A16" t="s">
        <v>110</v>
      </c>
      <c r="B16" t="s">
        <v>13</v>
      </c>
      <c r="C16">
        <v>122.69</v>
      </c>
      <c r="D16">
        <v>94.53</v>
      </c>
      <c r="E16">
        <v>59.04</v>
      </c>
      <c r="F16">
        <v>32.46</v>
      </c>
      <c r="G16">
        <v>45.21</v>
      </c>
      <c r="H16">
        <v>56.02</v>
      </c>
      <c r="I16">
        <v>65.790000000000006</v>
      </c>
      <c r="J16">
        <v>306.23</v>
      </c>
      <c r="K16">
        <v>61.67</v>
      </c>
      <c r="L16">
        <v>83.62</v>
      </c>
      <c r="M16">
        <v>30.67</v>
      </c>
      <c r="N16">
        <v>154.99</v>
      </c>
      <c r="O16">
        <v>57.75</v>
      </c>
      <c r="P16">
        <v>252.17</v>
      </c>
      <c r="Q16">
        <v>78.66</v>
      </c>
      <c r="R16">
        <v>112.52</v>
      </c>
      <c r="S16">
        <v>42.75</v>
      </c>
      <c r="T16">
        <v>275.22000000000003</v>
      </c>
      <c r="U16">
        <v>36.26</v>
      </c>
      <c r="W16">
        <v>40.58</v>
      </c>
      <c r="Y16">
        <v>8.8800000000000008</v>
      </c>
    </row>
    <row r="17" spans="1:25" x14ac:dyDescent="0.2">
      <c r="A17" t="s">
        <v>110</v>
      </c>
      <c r="B17" t="s">
        <v>14</v>
      </c>
      <c r="C17">
        <v>228.43</v>
      </c>
      <c r="D17">
        <v>67.290000000000006</v>
      </c>
      <c r="E17">
        <v>89.67</v>
      </c>
      <c r="F17">
        <v>50.6</v>
      </c>
      <c r="G17">
        <v>104.44</v>
      </c>
      <c r="H17">
        <v>94.2</v>
      </c>
      <c r="I17">
        <v>43.35</v>
      </c>
      <c r="J17">
        <v>1028.02</v>
      </c>
      <c r="K17">
        <v>89.79</v>
      </c>
      <c r="L17">
        <v>97.58</v>
      </c>
      <c r="M17">
        <v>67.67</v>
      </c>
      <c r="N17">
        <v>219.4</v>
      </c>
      <c r="O17">
        <v>38.5</v>
      </c>
      <c r="P17">
        <v>667.93</v>
      </c>
      <c r="Q17">
        <v>146.37</v>
      </c>
      <c r="R17">
        <v>205.58</v>
      </c>
      <c r="S17">
        <v>86.08</v>
      </c>
      <c r="T17">
        <v>226.64</v>
      </c>
      <c r="U17">
        <v>33.26</v>
      </c>
      <c r="W17">
        <v>64.180000000000007</v>
      </c>
      <c r="Y17">
        <v>17.920000000000002</v>
      </c>
    </row>
    <row r="18" spans="1:25" x14ac:dyDescent="0.2">
      <c r="A18" s="8" t="s">
        <v>34</v>
      </c>
      <c r="B18" s="8"/>
      <c r="C18">
        <v>351.12</v>
      </c>
      <c r="D18">
        <v>161.82</v>
      </c>
      <c r="E18">
        <v>148.71</v>
      </c>
      <c r="F18">
        <v>83.06</v>
      </c>
      <c r="G18">
        <v>149.65</v>
      </c>
      <c r="H18">
        <v>150.22</v>
      </c>
      <c r="I18">
        <v>109.14</v>
      </c>
      <c r="J18">
        <v>1334.25</v>
      </c>
      <c r="K18">
        <v>151.46</v>
      </c>
      <c r="L18">
        <v>181.2</v>
      </c>
      <c r="M18">
        <v>98.34</v>
      </c>
      <c r="N18">
        <v>374.4</v>
      </c>
      <c r="O18">
        <v>96.25</v>
      </c>
      <c r="P18">
        <v>920.09</v>
      </c>
      <c r="Q18">
        <v>225.03</v>
      </c>
      <c r="R18">
        <v>318.10000000000002</v>
      </c>
      <c r="S18">
        <v>128.83000000000001</v>
      </c>
      <c r="T18">
        <v>501.87</v>
      </c>
      <c r="U18">
        <v>69.53</v>
      </c>
      <c r="W18">
        <v>104.76</v>
      </c>
      <c r="Y18">
        <v>26.8</v>
      </c>
    </row>
    <row r="19" spans="1:25" x14ac:dyDescent="0.2">
      <c r="A19" t="s">
        <v>109</v>
      </c>
      <c r="B19" t="s">
        <v>13</v>
      </c>
      <c r="C19" s="17">
        <v>198.75</v>
      </c>
      <c r="E19">
        <v>206.9</v>
      </c>
      <c r="G19">
        <v>271.5</v>
      </c>
      <c r="I19">
        <v>167.48</v>
      </c>
      <c r="K19">
        <v>180.39</v>
      </c>
      <c r="M19">
        <v>203.98</v>
      </c>
      <c r="O19">
        <v>184.29</v>
      </c>
      <c r="Q19">
        <v>167.49</v>
      </c>
      <c r="S19" s="17">
        <v>325</v>
      </c>
    </row>
    <row r="20" spans="1:25" x14ac:dyDescent="0.2">
      <c r="A20" t="s">
        <v>109</v>
      </c>
      <c r="B20" t="s">
        <v>14</v>
      </c>
      <c r="C20">
        <v>235.79</v>
      </c>
      <c r="E20">
        <v>151.29</v>
      </c>
      <c r="G20">
        <v>159.84</v>
      </c>
      <c r="I20">
        <v>127.84</v>
      </c>
      <c r="K20">
        <v>138.46</v>
      </c>
      <c r="M20">
        <v>241.66</v>
      </c>
      <c r="O20">
        <v>115.65</v>
      </c>
      <c r="Q20">
        <v>152.49</v>
      </c>
      <c r="S20">
        <v>235.72</v>
      </c>
    </row>
  </sheetData>
  <mergeCells count="12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2D74-608A-E143-B07B-BDFBAA2C7ED2}">
  <dimension ref="A1:M19"/>
  <sheetViews>
    <sheetView workbookViewId="0">
      <selection sqref="A1:A19"/>
    </sheetView>
  </sheetViews>
  <sheetFormatPr baseColWidth="10" defaultRowHeight="15" x14ac:dyDescent="0.2"/>
  <sheetData>
    <row r="1" spans="1:13" ht="16" x14ac:dyDescent="0.2">
      <c r="A1" s="29" t="s">
        <v>103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4" t="s">
        <v>36</v>
      </c>
      <c r="L1" s="34" t="s">
        <v>38</v>
      </c>
      <c r="M1" s="34" t="s">
        <v>39</v>
      </c>
    </row>
    <row r="2" spans="1:13" x14ac:dyDescent="0.2">
      <c r="A2" s="29" t="s">
        <v>113</v>
      </c>
      <c r="B2" s="29">
        <v>4.0999999999999996</v>
      </c>
      <c r="C2" s="29">
        <v>5.39</v>
      </c>
      <c r="D2" s="29">
        <v>5.86</v>
      </c>
      <c r="E2" s="29">
        <v>4.34</v>
      </c>
      <c r="F2" s="29">
        <v>4.0199999999999996</v>
      </c>
      <c r="G2" s="29">
        <v>5.25</v>
      </c>
      <c r="H2" s="29">
        <v>4.1900000000000004</v>
      </c>
      <c r="I2" s="29">
        <v>4.3099999999999996</v>
      </c>
      <c r="J2" s="29">
        <v>5.24</v>
      </c>
      <c r="K2" s="29">
        <v>5.08</v>
      </c>
      <c r="L2" s="29">
        <v>5.6</v>
      </c>
      <c r="M2" s="29">
        <v>6.86</v>
      </c>
    </row>
    <row r="3" spans="1:13" x14ac:dyDescent="0.2">
      <c r="A3" s="29" t="s">
        <v>114</v>
      </c>
      <c r="B3" s="29">
        <v>3.97</v>
      </c>
      <c r="C3" s="29">
        <v>6.14</v>
      </c>
      <c r="D3" s="29">
        <v>6.54</v>
      </c>
      <c r="E3" s="29">
        <v>5.28</v>
      </c>
      <c r="F3" s="29">
        <v>5.54</v>
      </c>
      <c r="G3" s="29">
        <v>5.83</v>
      </c>
      <c r="H3" s="29">
        <v>5.22</v>
      </c>
      <c r="I3" s="29">
        <v>5.27</v>
      </c>
      <c r="J3" s="29">
        <v>6.47</v>
      </c>
      <c r="K3" s="29">
        <v>4.91</v>
      </c>
      <c r="L3" s="29">
        <v>5.81</v>
      </c>
      <c r="M3" s="29">
        <v>6.67</v>
      </c>
    </row>
    <row r="4" spans="1:13" x14ac:dyDescent="0.2">
      <c r="A4" s="29" t="s">
        <v>115</v>
      </c>
      <c r="B4" s="29">
        <v>0.15</v>
      </c>
      <c r="C4" s="29">
        <v>0.12</v>
      </c>
      <c r="D4" s="29">
        <v>0.11</v>
      </c>
      <c r="E4" s="29">
        <v>0.11</v>
      </c>
      <c r="F4" s="29">
        <v>0.13</v>
      </c>
      <c r="G4" s="29">
        <v>0.1</v>
      </c>
      <c r="H4" s="29">
        <v>0.12</v>
      </c>
      <c r="I4" s="29">
        <v>0.13</v>
      </c>
      <c r="J4" s="29">
        <v>0.13</v>
      </c>
      <c r="K4" s="29">
        <v>7.0000000000000007E-2</v>
      </c>
      <c r="L4" s="29">
        <v>7.0000000000000007E-2</v>
      </c>
      <c r="M4" s="29">
        <v>0.08</v>
      </c>
    </row>
    <row r="5" spans="1:13" x14ac:dyDescent="0.2">
      <c r="A5" s="29" t="s">
        <v>116</v>
      </c>
      <c r="B5" s="29">
        <v>0.08</v>
      </c>
      <c r="C5" s="29">
        <v>0.08</v>
      </c>
      <c r="D5" s="29">
        <v>0.09</v>
      </c>
      <c r="E5" s="29">
        <v>0.04</v>
      </c>
      <c r="F5" s="29">
        <v>7.0000000000000007E-2</v>
      </c>
      <c r="G5" s="29">
        <v>7.0000000000000007E-2</v>
      </c>
      <c r="H5" s="29">
        <v>0.13</v>
      </c>
      <c r="I5" s="29">
        <v>0.08</v>
      </c>
      <c r="J5" s="29">
        <v>0.12</v>
      </c>
      <c r="K5" s="29">
        <v>0.03</v>
      </c>
      <c r="L5" s="29">
        <v>0.09</v>
      </c>
      <c r="M5" s="29">
        <v>7.0000000000000007E-2</v>
      </c>
    </row>
    <row r="6" spans="1:13" x14ac:dyDescent="0.2">
      <c r="A6" s="29" t="s">
        <v>117</v>
      </c>
      <c r="B6" s="29">
        <v>55.44</v>
      </c>
      <c r="C6" s="29">
        <v>49.63</v>
      </c>
      <c r="D6" s="29">
        <v>67.56</v>
      </c>
      <c r="E6" s="29">
        <v>33.56</v>
      </c>
      <c r="F6" s="29">
        <v>35.96</v>
      </c>
      <c r="G6" s="29">
        <v>48.88</v>
      </c>
      <c r="H6" s="29">
        <v>37.270000000000003</v>
      </c>
      <c r="I6" s="29">
        <v>31.69</v>
      </c>
      <c r="J6" s="29">
        <v>72.2</v>
      </c>
      <c r="K6" s="29">
        <v>42.33</v>
      </c>
      <c r="L6" s="29">
        <v>50</v>
      </c>
      <c r="M6" s="29">
        <v>6</v>
      </c>
    </row>
    <row r="7" spans="1:13" x14ac:dyDescent="0.2">
      <c r="A7" s="29" t="s">
        <v>118</v>
      </c>
      <c r="B7" s="29">
        <v>46.66</v>
      </c>
      <c r="C7" s="29">
        <v>41.66</v>
      </c>
      <c r="D7" s="29">
        <v>39.24</v>
      </c>
      <c r="E7" s="29">
        <v>28.57</v>
      </c>
      <c r="F7" s="29">
        <v>32.700000000000003</v>
      </c>
      <c r="G7" s="29">
        <v>63.41</v>
      </c>
      <c r="H7" s="29">
        <v>23.26</v>
      </c>
      <c r="I7" s="29">
        <v>29.5</v>
      </c>
      <c r="J7" s="29">
        <v>53.34</v>
      </c>
      <c r="K7" s="29">
        <v>36</v>
      </c>
      <c r="L7" s="29">
        <v>61.67</v>
      </c>
      <c r="M7" s="29">
        <v>6</v>
      </c>
    </row>
    <row r="8" spans="1:13" x14ac:dyDescent="0.2">
      <c r="A8" s="29" t="s">
        <v>119</v>
      </c>
      <c r="B8" s="29">
        <v>1.56</v>
      </c>
      <c r="C8" s="29">
        <v>2.0499999999999998</v>
      </c>
      <c r="D8" s="29">
        <v>1.37</v>
      </c>
      <c r="E8" s="29">
        <v>1.66</v>
      </c>
      <c r="F8" s="29">
        <v>1.69</v>
      </c>
      <c r="G8" s="29">
        <v>1.61</v>
      </c>
      <c r="H8" s="29">
        <v>1.86</v>
      </c>
      <c r="I8" s="29">
        <v>1.84</v>
      </c>
      <c r="J8" s="29">
        <v>1.25</v>
      </c>
      <c r="K8" s="29">
        <v>1.53</v>
      </c>
      <c r="L8" s="29">
        <v>1.67</v>
      </c>
      <c r="M8" s="29">
        <v>1.48</v>
      </c>
    </row>
    <row r="9" spans="1:13" x14ac:dyDescent="0.2">
      <c r="A9" s="29" t="s">
        <v>120</v>
      </c>
      <c r="B9" s="29">
        <v>1.78</v>
      </c>
      <c r="C9" s="29">
        <v>2.0299999999999998</v>
      </c>
      <c r="D9" s="29">
        <v>1.78</v>
      </c>
      <c r="E9" s="29">
        <v>1.8</v>
      </c>
      <c r="F9" s="29">
        <v>2.08</v>
      </c>
      <c r="G9" s="29">
        <v>1.25</v>
      </c>
      <c r="H9" s="29">
        <v>2</v>
      </c>
      <c r="I9" s="29">
        <v>2.0499999999999998</v>
      </c>
      <c r="J9" s="29">
        <v>1.58</v>
      </c>
      <c r="K9" s="29">
        <v>1.44</v>
      </c>
      <c r="L9" s="29">
        <v>1.73</v>
      </c>
      <c r="M9" s="29">
        <v>1.6</v>
      </c>
    </row>
    <row r="10" spans="1:13" x14ac:dyDescent="0.2">
      <c r="A10" s="29" t="s">
        <v>134</v>
      </c>
      <c r="B10" s="29">
        <v>2.63</v>
      </c>
      <c r="C10" s="29">
        <v>0.96</v>
      </c>
      <c r="D10" s="29">
        <v>1.1000000000000001</v>
      </c>
      <c r="E10" s="29">
        <v>1.325</v>
      </c>
      <c r="F10" s="29">
        <v>1.22</v>
      </c>
      <c r="G10" s="29">
        <v>0.63500000000000001</v>
      </c>
      <c r="H10" s="29">
        <v>1.0349999999999999</v>
      </c>
      <c r="I10" s="29">
        <v>1.425</v>
      </c>
      <c r="J10" s="29">
        <v>1.1399999999999999</v>
      </c>
      <c r="K10" s="29">
        <v>0.79</v>
      </c>
      <c r="L10" s="29">
        <v>0.81</v>
      </c>
      <c r="M10" s="29">
        <v>0.2</v>
      </c>
    </row>
    <row r="11" spans="1:13" x14ac:dyDescent="0.2">
      <c r="A11" s="29" t="s">
        <v>135</v>
      </c>
      <c r="B11" s="29">
        <v>1.83</v>
      </c>
      <c r="C11" s="29">
        <v>0.63</v>
      </c>
      <c r="D11" s="29">
        <v>0.84</v>
      </c>
      <c r="E11" s="29">
        <v>0.35</v>
      </c>
      <c r="F11" s="29">
        <v>0.62</v>
      </c>
      <c r="G11" s="29">
        <v>0.77</v>
      </c>
      <c r="H11" s="29">
        <v>0.28000000000000003</v>
      </c>
      <c r="I11" s="29">
        <v>1.02</v>
      </c>
      <c r="J11" s="29">
        <v>0.78</v>
      </c>
      <c r="K11" s="29">
        <v>0.33</v>
      </c>
      <c r="L11" s="29">
        <v>0.53</v>
      </c>
      <c r="M11" s="29">
        <v>0.16</v>
      </c>
    </row>
    <row r="12" spans="1:13" x14ac:dyDescent="0.2">
      <c r="A12" s="29" t="s">
        <v>136</v>
      </c>
      <c r="B12" s="29">
        <v>26.3</v>
      </c>
      <c r="C12" s="29">
        <v>9.6</v>
      </c>
      <c r="D12" s="29">
        <v>11</v>
      </c>
      <c r="E12" s="29">
        <v>13.25</v>
      </c>
      <c r="F12" s="29">
        <v>12.2</v>
      </c>
      <c r="G12" s="29">
        <v>6.35</v>
      </c>
      <c r="H12" s="29">
        <v>10.35</v>
      </c>
      <c r="I12" s="29">
        <v>14.25</v>
      </c>
      <c r="J12" s="29">
        <v>11.4</v>
      </c>
      <c r="K12" s="29">
        <v>7.9</v>
      </c>
      <c r="L12" s="29">
        <v>8.1</v>
      </c>
      <c r="M12" s="29">
        <v>2</v>
      </c>
    </row>
    <row r="13" spans="1:13" x14ac:dyDescent="0.2">
      <c r="A13" s="29" t="s">
        <v>137</v>
      </c>
      <c r="B13" s="29">
        <v>18.329999999999998</v>
      </c>
      <c r="C13" s="29">
        <v>6.3</v>
      </c>
      <c r="D13" s="29">
        <v>8.3699999999999992</v>
      </c>
      <c r="E13" s="29">
        <v>3.45</v>
      </c>
      <c r="F13" s="29">
        <v>6.17</v>
      </c>
      <c r="G13" s="29">
        <v>7.73</v>
      </c>
      <c r="H13" s="29">
        <v>2.75</v>
      </c>
      <c r="I13" s="29">
        <v>10.199999999999999</v>
      </c>
      <c r="J13" s="29">
        <v>7.77</v>
      </c>
      <c r="K13" s="29">
        <v>3.3</v>
      </c>
      <c r="L13" s="29">
        <v>5.3</v>
      </c>
      <c r="M13" s="29">
        <v>1.6</v>
      </c>
    </row>
    <row r="14" spans="1:13" x14ac:dyDescent="0.2">
      <c r="A14" s="31" t="s">
        <v>133</v>
      </c>
      <c r="B14" s="29">
        <v>44.63</v>
      </c>
      <c r="C14" s="29">
        <v>15.9</v>
      </c>
      <c r="D14" s="29">
        <v>19.37</v>
      </c>
      <c r="E14" s="29">
        <v>16.7</v>
      </c>
      <c r="F14" s="29">
        <v>18.37</v>
      </c>
      <c r="G14" s="29">
        <v>14.08</v>
      </c>
      <c r="H14" s="29">
        <v>13.1</v>
      </c>
      <c r="I14" s="29">
        <v>24.45</v>
      </c>
      <c r="J14" s="29">
        <v>19.170000000000002</v>
      </c>
      <c r="K14" s="29">
        <v>11.2</v>
      </c>
      <c r="L14" s="29">
        <v>13.4</v>
      </c>
      <c r="M14" s="29">
        <v>3.6</v>
      </c>
    </row>
    <row r="15" spans="1:13" x14ac:dyDescent="0.2">
      <c r="A15" s="29" t="s">
        <v>122</v>
      </c>
      <c r="B15" s="29">
        <v>122.69</v>
      </c>
      <c r="C15" s="29">
        <v>59.04</v>
      </c>
      <c r="D15" s="29">
        <v>45.21</v>
      </c>
      <c r="E15" s="29">
        <v>65.790000000000006</v>
      </c>
      <c r="F15" s="29">
        <v>61.67</v>
      </c>
      <c r="G15" s="29">
        <v>30.67</v>
      </c>
      <c r="H15" s="29">
        <v>57.75</v>
      </c>
      <c r="I15" s="29">
        <v>78.66</v>
      </c>
      <c r="J15" s="29">
        <v>42.75</v>
      </c>
      <c r="K15" s="29">
        <v>36.26</v>
      </c>
      <c r="L15" s="29">
        <v>40.58</v>
      </c>
      <c r="M15" s="29">
        <v>8.8800000000000008</v>
      </c>
    </row>
    <row r="16" spans="1:13" x14ac:dyDescent="0.2">
      <c r="A16" s="29" t="s">
        <v>123</v>
      </c>
      <c r="B16" s="29">
        <v>228.43</v>
      </c>
      <c r="C16" s="29">
        <v>89.67</v>
      </c>
      <c r="D16" s="29">
        <v>104.44</v>
      </c>
      <c r="E16" s="29">
        <v>43.35</v>
      </c>
      <c r="F16" s="29">
        <v>89.79</v>
      </c>
      <c r="G16" s="29">
        <v>67.67</v>
      </c>
      <c r="H16" s="29">
        <v>38.5</v>
      </c>
      <c r="I16" s="29">
        <v>146.37</v>
      </c>
      <c r="J16" s="29">
        <v>86.08</v>
      </c>
      <c r="K16" s="29">
        <v>33.26</v>
      </c>
      <c r="L16" s="29">
        <v>64.180000000000007</v>
      </c>
      <c r="M16" s="29">
        <v>17.920000000000002</v>
      </c>
    </row>
    <row r="17" spans="1:13" x14ac:dyDescent="0.2">
      <c r="A17" s="31" t="s">
        <v>124</v>
      </c>
      <c r="B17" s="29">
        <v>351.12</v>
      </c>
      <c r="C17" s="29">
        <v>148.71</v>
      </c>
      <c r="D17" s="29">
        <v>149.65</v>
      </c>
      <c r="E17" s="29">
        <v>109.14</v>
      </c>
      <c r="F17" s="29">
        <v>151.46</v>
      </c>
      <c r="G17" s="29">
        <v>98.34</v>
      </c>
      <c r="H17" s="29">
        <v>96.25</v>
      </c>
      <c r="I17" s="29">
        <v>225.03</v>
      </c>
      <c r="J17" s="29">
        <v>128.83000000000001</v>
      </c>
      <c r="K17" s="29">
        <v>69.53</v>
      </c>
      <c r="L17" s="29">
        <v>104.76</v>
      </c>
      <c r="M17" s="29">
        <v>26.8</v>
      </c>
    </row>
    <row r="18" spans="1:13" x14ac:dyDescent="0.2">
      <c r="A18" s="29" t="s">
        <v>125</v>
      </c>
      <c r="B18" s="12">
        <v>198.75</v>
      </c>
      <c r="C18" s="29">
        <v>206.9</v>
      </c>
      <c r="D18" s="29">
        <v>271.5</v>
      </c>
      <c r="E18" s="29">
        <v>167.48</v>
      </c>
      <c r="F18" s="29">
        <v>180.39</v>
      </c>
      <c r="G18" s="29">
        <v>203.98</v>
      </c>
      <c r="H18" s="29">
        <v>184.29</v>
      </c>
      <c r="I18" s="29">
        <v>167.49</v>
      </c>
      <c r="J18" s="12">
        <v>325</v>
      </c>
      <c r="K18" s="29"/>
      <c r="L18" s="29"/>
      <c r="M18" s="29"/>
    </row>
    <row r="19" spans="1:13" x14ac:dyDescent="0.2">
      <c r="A19" s="29" t="s">
        <v>126</v>
      </c>
      <c r="B19" s="29">
        <v>235.79</v>
      </c>
      <c r="C19" s="29">
        <v>151.29</v>
      </c>
      <c r="D19" s="29">
        <v>159.84</v>
      </c>
      <c r="E19" s="29">
        <v>127.84</v>
      </c>
      <c r="F19" s="29">
        <v>138.46</v>
      </c>
      <c r="G19" s="29">
        <v>241.66</v>
      </c>
      <c r="H19" s="29">
        <v>115.65</v>
      </c>
      <c r="I19" s="29">
        <v>152.49</v>
      </c>
      <c r="J19" s="29">
        <v>235.72</v>
      </c>
      <c r="K19" s="29"/>
      <c r="L19" s="29"/>
      <c r="M19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8DA6-02DF-2D43-A868-DB12FCFC17F4}">
  <dimension ref="A1:V13"/>
  <sheetViews>
    <sheetView tabSelected="1" workbookViewId="0">
      <selection activeCell="B12" sqref="B12"/>
    </sheetView>
  </sheetViews>
  <sheetFormatPr baseColWidth="10" defaultRowHeight="15" x14ac:dyDescent="0.2"/>
  <sheetData>
    <row r="1" spans="1:22" x14ac:dyDescent="0.2">
      <c r="A1" s="29" t="s">
        <v>103</v>
      </c>
      <c r="B1" t="s">
        <v>140</v>
      </c>
      <c r="C1" t="s">
        <v>138</v>
      </c>
      <c r="D1" t="s">
        <v>139</v>
      </c>
      <c r="E1" s="29" t="s">
        <v>113</v>
      </c>
      <c r="F1" s="29" t="s">
        <v>114</v>
      </c>
      <c r="G1" s="29" t="s">
        <v>115</v>
      </c>
      <c r="H1" s="29" t="s">
        <v>116</v>
      </c>
      <c r="I1" s="29" t="s">
        <v>117</v>
      </c>
      <c r="J1" s="29" t="s">
        <v>118</v>
      </c>
      <c r="K1" s="29" t="s">
        <v>119</v>
      </c>
      <c r="L1" s="29" t="s">
        <v>120</v>
      </c>
      <c r="M1" s="29" t="s">
        <v>134</v>
      </c>
      <c r="N1" s="29" t="s">
        <v>135</v>
      </c>
      <c r="O1" s="29" t="s">
        <v>136</v>
      </c>
      <c r="P1" s="29" t="s">
        <v>137</v>
      </c>
      <c r="Q1" s="31" t="s">
        <v>133</v>
      </c>
      <c r="R1" s="29" t="s">
        <v>122</v>
      </c>
      <c r="S1" s="29" t="s">
        <v>123</v>
      </c>
      <c r="T1" s="31" t="s">
        <v>124</v>
      </c>
      <c r="U1" s="29"/>
      <c r="V1" s="29"/>
    </row>
    <row r="2" spans="1:22" ht="16" x14ac:dyDescent="0.2">
      <c r="A2" s="32" t="s">
        <v>1</v>
      </c>
      <c r="B2" t="s">
        <v>141</v>
      </c>
      <c r="C2">
        <v>24.5015</v>
      </c>
      <c r="D2">
        <v>91.376917000000006</v>
      </c>
      <c r="E2" s="29">
        <v>4.8</v>
      </c>
      <c r="F2" s="29">
        <v>5.4</v>
      </c>
      <c r="G2" s="29">
        <v>0.16</v>
      </c>
      <c r="H2" s="29">
        <v>7.0000000000000007E-2</v>
      </c>
      <c r="I2" s="29">
        <v>56</v>
      </c>
      <c r="J2" s="29">
        <v>40.33</v>
      </c>
      <c r="K2" s="29">
        <v>2.56</v>
      </c>
      <c r="L2" s="29">
        <v>2.36</v>
      </c>
      <c r="M2" s="29">
        <v>1.23</v>
      </c>
      <c r="N2" s="29">
        <v>0.41</v>
      </c>
      <c r="O2" s="29">
        <v>12.3</v>
      </c>
      <c r="P2" s="29">
        <v>4.07</v>
      </c>
      <c r="Q2" s="29">
        <v>16.37</v>
      </c>
      <c r="R2" s="29">
        <v>94.53</v>
      </c>
      <c r="S2" s="29">
        <v>67.290000000000006</v>
      </c>
      <c r="T2" s="29">
        <v>161.82</v>
      </c>
      <c r="U2" s="29"/>
      <c r="V2" s="29"/>
    </row>
    <row r="3" spans="1:22" ht="16" x14ac:dyDescent="0.2">
      <c r="A3" s="32" t="s">
        <v>2</v>
      </c>
      <c r="B3" t="s">
        <v>142</v>
      </c>
      <c r="C3">
        <v>24.431332999999999</v>
      </c>
      <c r="D3">
        <v>91.227110999999994</v>
      </c>
      <c r="E3" s="29">
        <v>5.18</v>
      </c>
      <c r="F3" s="29">
        <v>5.28</v>
      </c>
      <c r="G3" s="29">
        <v>0.08</v>
      </c>
      <c r="H3" s="29">
        <v>0.06</v>
      </c>
      <c r="I3" s="29">
        <v>17.45</v>
      </c>
      <c r="J3" s="29">
        <v>20.63</v>
      </c>
      <c r="K3" s="29">
        <v>1.88</v>
      </c>
      <c r="L3" s="29">
        <v>1.9</v>
      </c>
      <c r="M3" s="29">
        <v>0.57499999999999996</v>
      </c>
      <c r="N3" s="29">
        <v>0.38</v>
      </c>
      <c r="O3" s="29">
        <v>5.75</v>
      </c>
      <c r="P3" s="29">
        <v>3.8</v>
      </c>
      <c r="Q3" s="29">
        <v>9.5500000000000007</v>
      </c>
      <c r="R3" s="29">
        <v>32.46</v>
      </c>
      <c r="S3" s="29">
        <v>50.6</v>
      </c>
      <c r="T3" s="29">
        <v>83.06</v>
      </c>
      <c r="U3" s="29"/>
      <c r="V3" s="29"/>
    </row>
    <row r="4" spans="1:22" ht="16" x14ac:dyDescent="0.2">
      <c r="A4" s="32" t="s">
        <v>3</v>
      </c>
      <c r="B4" t="s">
        <v>143</v>
      </c>
      <c r="C4">
        <v>25.0229</v>
      </c>
      <c r="D4">
        <v>91.197500000000005</v>
      </c>
      <c r="E4" s="29">
        <v>5.25</v>
      </c>
      <c r="F4" s="29">
        <v>5.73</v>
      </c>
      <c r="G4" s="29">
        <v>0.1</v>
      </c>
      <c r="H4" s="29">
        <v>0.08</v>
      </c>
      <c r="I4" s="29">
        <v>21</v>
      </c>
      <c r="J4" s="29">
        <v>25.67</v>
      </c>
      <c r="K4" s="29">
        <v>2.11</v>
      </c>
      <c r="L4" s="29">
        <v>2.04</v>
      </c>
      <c r="M4" s="29">
        <v>0.88500000000000001</v>
      </c>
      <c r="N4" s="29">
        <v>0.66</v>
      </c>
      <c r="O4" s="29">
        <v>8.85</v>
      </c>
      <c r="P4" s="29">
        <v>6.6</v>
      </c>
      <c r="Q4" s="29">
        <v>15.45</v>
      </c>
      <c r="R4" s="29">
        <v>56.02</v>
      </c>
      <c r="S4" s="29">
        <v>94.2</v>
      </c>
      <c r="T4" s="29">
        <v>150.22</v>
      </c>
      <c r="U4" s="29"/>
      <c r="V4" s="29"/>
    </row>
    <row r="5" spans="1:22" ht="16" x14ac:dyDescent="0.2">
      <c r="A5" s="32" t="s">
        <v>4</v>
      </c>
      <c r="B5" t="s">
        <v>144</v>
      </c>
      <c r="C5">
        <v>24.301138999999999</v>
      </c>
      <c r="D5">
        <v>91.534306000000001</v>
      </c>
      <c r="E5" s="29">
        <v>5.6</v>
      </c>
      <c r="F5" s="29">
        <v>0</v>
      </c>
      <c r="G5" s="29">
        <v>0.42</v>
      </c>
      <c r="H5" s="29">
        <v>0.49</v>
      </c>
      <c r="I5" s="29">
        <v>16.5</v>
      </c>
      <c r="J5" s="29">
        <v>5.5</v>
      </c>
      <c r="K5" s="29">
        <v>1.46</v>
      </c>
      <c r="L5" s="29">
        <v>1.1299999999999999</v>
      </c>
      <c r="M5" s="29">
        <v>7.01</v>
      </c>
      <c r="N5" s="29">
        <v>12.99</v>
      </c>
      <c r="O5" s="29">
        <v>70.099999999999994</v>
      </c>
      <c r="P5" s="29">
        <v>129.9</v>
      </c>
      <c r="Q5" s="29">
        <v>200</v>
      </c>
      <c r="R5" s="29">
        <v>306.23</v>
      </c>
      <c r="S5" s="29">
        <v>1028.02</v>
      </c>
      <c r="T5" s="29">
        <v>1334.25</v>
      </c>
      <c r="U5" s="29"/>
      <c r="V5" s="29"/>
    </row>
    <row r="6" spans="1:22" ht="16" x14ac:dyDescent="0.2">
      <c r="A6" s="32" t="s">
        <v>5</v>
      </c>
      <c r="B6" t="s">
        <v>145</v>
      </c>
      <c r="C6">
        <v>24.282693999999999</v>
      </c>
      <c r="D6">
        <v>91.244305999999995</v>
      </c>
      <c r="E6" s="29">
        <v>4.4000000000000004</v>
      </c>
      <c r="F6" s="29">
        <v>5.73</v>
      </c>
      <c r="G6" s="29">
        <v>0.19</v>
      </c>
      <c r="H6" s="29">
        <v>0.09</v>
      </c>
      <c r="I6" s="29">
        <v>57.5</v>
      </c>
      <c r="J6" s="29">
        <v>41.33</v>
      </c>
      <c r="K6" s="29">
        <v>1.71</v>
      </c>
      <c r="L6" s="29">
        <v>2.0499999999999998</v>
      </c>
      <c r="M6" s="29">
        <v>1.63</v>
      </c>
      <c r="N6" s="29">
        <v>0.68</v>
      </c>
      <c r="O6" s="29">
        <v>16.3</v>
      </c>
      <c r="P6" s="29">
        <v>6.8</v>
      </c>
      <c r="Q6" s="29">
        <v>23.1</v>
      </c>
      <c r="R6" s="29">
        <v>83.62</v>
      </c>
      <c r="S6" s="29">
        <v>97.58</v>
      </c>
      <c r="T6" s="29">
        <v>181.2</v>
      </c>
      <c r="U6" s="29"/>
      <c r="V6" s="29"/>
    </row>
    <row r="7" spans="1:22" ht="16" x14ac:dyDescent="0.2">
      <c r="A7" s="32" t="s">
        <v>6</v>
      </c>
      <c r="B7" t="s">
        <v>144</v>
      </c>
      <c r="C7">
        <v>24.902556000000001</v>
      </c>
      <c r="D7">
        <v>91.005250000000004</v>
      </c>
      <c r="E7" s="29">
        <v>4.7</v>
      </c>
      <c r="F7" s="29">
        <v>6.7</v>
      </c>
      <c r="G7" s="29">
        <v>0.19</v>
      </c>
      <c r="H7" s="29">
        <v>0.1</v>
      </c>
      <c r="I7" s="29">
        <v>74</v>
      </c>
      <c r="J7" s="29">
        <v>48.33</v>
      </c>
      <c r="K7" s="29">
        <v>2.91</v>
      </c>
      <c r="L7" s="29">
        <v>2.38</v>
      </c>
      <c r="M7" s="29">
        <v>1.7749999999999999</v>
      </c>
      <c r="N7" s="29">
        <v>1.32</v>
      </c>
      <c r="O7" s="29">
        <v>17.75</v>
      </c>
      <c r="P7" s="29">
        <v>13.15</v>
      </c>
      <c r="Q7" s="29">
        <v>30.9</v>
      </c>
      <c r="R7" s="29">
        <v>154.99</v>
      </c>
      <c r="S7" s="29">
        <v>219.4</v>
      </c>
      <c r="T7" s="29">
        <v>374.4</v>
      </c>
      <c r="U7" s="29"/>
      <c r="V7" s="29"/>
    </row>
    <row r="8" spans="1:22" ht="16" x14ac:dyDescent="0.2">
      <c r="A8" s="32" t="s">
        <v>7</v>
      </c>
      <c r="B8" t="s">
        <v>146</v>
      </c>
      <c r="C8">
        <v>24.103722000000001</v>
      </c>
      <c r="D8">
        <v>91.144582999999997</v>
      </c>
      <c r="E8" s="29">
        <v>4.1500000000000004</v>
      </c>
      <c r="F8" s="29">
        <v>3.6</v>
      </c>
      <c r="G8" s="29">
        <v>0.39</v>
      </c>
      <c r="H8" s="29">
        <v>0.49</v>
      </c>
      <c r="I8" s="29">
        <v>36.200000000000003</v>
      </c>
      <c r="J8" s="29">
        <v>26.35</v>
      </c>
      <c r="K8" s="29">
        <v>1.96</v>
      </c>
      <c r="L8" s="29">
        <v>1.7</v>
      </c>
      <c r="M8" s="29">
        <v>4.2949999999999999</v>
      </c>
      <c r="N8" s="29">
        <v>5.6</v>
      </c>
      <c r="O8" s="29">
        <v>42.95</v>
      </c>
      <c r="P8" s="29">
        <v>56</v>
      </c>
      <c r="Q8" s="29">
        <v>98.95</v>
      </c>
      <c r="R8" s="29">
        <v>252.17</v>
      </c>
      <c r="S8" s="29">
        <v>667.93</v>
      </c>
      <c r="T8" s="29">
        <v>920.09</v>
      </c>
      <c r="U8" s="29"/>
      <c r="V8" s="29"/>
    </row>
    <row r="9" spans="1:22" ht="16" x14ac:dyDescent="0.2">
      <c r="A9" s="32" t="s">
        <v>8</v>
      </c>
      <c r="B9" t="s">
        <v>144</v>
      </c>
      <c r="C9">
        <v>24.592193999999999</v>
      </c>
      <c r="D9">
        <v>91.300388999999996</v>
      </c>
      <c r="E9" s="29">
        <v>4.8</v>
      </c>
      <c r="F9" s="29">
        <v>4.7699999999999996</v>
      </c>
      <c r="G9" s="29">
        <v>0.17</v>
      </c>
      <c r="H9" s="29">
        <v>0.18</v>
      </c>
      <c r="I9" s="29">
        <v>58.5</v>
      </c>
      <c r="J9" s="29">
        <v>50.67</v>
      </c>
      <c r="K9" s="29">
        <v>2.6</v>
      </c>
      <c r="L9" s="29">
        <v>2.4500000000000002</v>
      </c>
      <c r="M9" s="29">
        <v>1.4450000000000001</v>
      </c>
      <c r="N9" s="29">
        <v>1.2</v>
      </c>
      <c r="O9" s="29">
        <v>14.45</v>
      </c>
      <c r="P9" s="29">
        <v>12</v>
      </c>
      <c r="Q9" s="29">
        <v>26.45</v>
      </c>
      <c r="R9" s="29">
        <v>112.52</v>
      </c>
      <c r="S9" s="29">
        <v>205.58</v>
      </c>
      <c r="T9" s="29">
        <v>318.10000000000002</v>
      </c>
      <c r="U9" s="29"/>
      <c r="V9" s="29"/>
    </row>
    <row r="10" spans="1:22" ht="16" x14ac:dyDescent="0.2">
      <c r="A10" s="32" t="s">
        <v>9</v>
      </c>
      <c r="B10" t="s">
        <v>144</v>
      </c>
      <c r="C10">
        <v>24.810611000000002</v>
      </c>
      <c r="D10">
        <v>91.380499999999998</v>
      </c>
      <c r="E10" s="29">
        <v>5.05</v>
      </c>
      <c r="F10" s="29">
        <v>5.67</v>
      </c>
      <c r="G10" s="29">
        <v>0.26</v>
      </c>
      <c r="H10" s="29">
        <v>0.1</v>
      </c>
      <c r="I10" s="29">
        <v>73.5</v>
      </c>
      <c r="J10" s="29">
        <v>47.67</v>
      </c>
      <c r="K10" s="29">
        <v>2.82</v>
      </c>
      <c r="L10" s="29">
        <v>2.36</v>
      </c>
      <c r="M10" s="29">
        <v>3.2549999999999999</v>
      </c>
      <c r="N10" s="29">
        <v>1.37</v>
      </c>
      <c r="O10" s="29">
        <v>32.549999999999997</v>
      </c>
      <c r="P10" s="29">
        <v>13.7</v>
      </c>
      <c r="Q10" s="29">
        <v>46.25</v>
      </c>
      <c r="R10" s="29">
        <v>275.22000000000003</v>
      </c>
      <c r="S10" s="29">
        <v>226.64</v>
      </c>
      <c r="T10" s="29">
        <v>501.87</v>
      </c>
      <c r="U10" s="29"/>
      <c r="V10" s="29"/>
    </row>
    <row r="11" spans="1:22" x14ac:dyDescent="0.2">
      <c r="A11" s="30" t="s">
        <v>36</v>
      </c>
      <c r="B11" s="36"/>
      <c r="C11" s="36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2" x14ac:dyDescent="0.2">
      <c r="A12" s="30" t="s">
        <v>38</v>
      </c>
      <c r="B12" s="36"/>
      <c r="C12" s="36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2" x14ac:dyDescent="0.2">
      <c r="A13" s="30" t="s">
        <v>39</v>
      </c>
      <c r="B13" s="36"/>
      <c r="C13" s="36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17D3-4DDA-9843-94FC-D24E2AF1B5CA}">
  <dimension ref="A1:V13"/>
  <sheetViews>
    <sheetView workbookViewId="0">
      <selection activeCell="B1" sqref="B1:B10"/>
    </sheetView>
  </sheetViews>
  <sheetFormatPr baseColWidth="10" defaultRowHeight="15" x14ac:dyDescent="0.2"/>
  <cols>
    <col min="1" max="3" width="14.5" customWidth="1"/>
  </cols>
  <sheetData>
    <row r="1" spans="1:22" x14ac:dyDescent="0.2">
      <c r="A1" s="29" t="s">
        <v>103</v>
      </c>
      <c r="B1" t="s">
        <v>140</v>
      </c>
      <c r="C1" t="s">
        <v>138</v>
      </c>
      <c r="D1" t="s">
        <v>139</v>
      </c>
      <c r="E1" s="29" t="s">
        <v>113</v>
      </c>
      <c r="F1" s="29" t="s">
        <v>114</v>
      </c>
      <c r="G1" s="29" t="s">
        <v>115</v>
      </c>
      <c r="H1" s="29" t="s">
        <v>116</v>
      </c>
      <c r="I1" s="29" t="s">
        <v>117</v>
      </c>
      <c r="J1" s="29" t="s">
        <v>118</v>
      </c>
      <c r="K1" s="29" t="s">
        <v>119</v>
      </c>
      <c r="L1" s="29" t="s">
        <v>120</v>
      </c>
      <c r="M1" s="29" t="s">
        <v>134</v>
      </c>
      <c r="N1" s="29" t="s">
        <v>135</v>
      </c>
      <c r="O1" s="29" t="s">
        <v>136</v>
      </c>
      <c r="P1" s="29" t="s">
        <v>137</v>
      </c>
      <c r="Q1" s="31" t="s">
        <v>133</v>
      </c>
      <c r="R1" s="29" t="s">
        <v>122</v>
      </c>
      <c r="S1" s="29" t="s">
        <v>123</v>
      </c>
      <c r="T1" s="31" t="s">
        <v>124</v>
      </c>
      <c r="U1" s="29" t="s">
        <v>125</v>
      </c>
      <c r="V1" s="29" t="s">
        <v>126</v>
      </c>
    </row>
    <row r="2" spans="1:22" ht="16" x14ac:dyDescent="0.2">
      <c r="A2" s="32" t="s">
        <v>1</v>
      </c>
      <c r="B2" t="s">
        <v>141</v>
      </c>
      <c r="C2">
        <v>24.5015</v>
      </c>
      <c r="D2">
        <v>91.376917000000006</v>
      </c>
      <c r="E2" s="29">
        <v>4.0999999999999996</v>
      </c>
      <c r="F2" s="29">
        <v>3.97</v>
      </c>
      <c r="G2" s="29">
        <v>0.15</v>
      </c>
      <c r="H2" s="29">
        <v>0.08</v>
      </c>
      <c r="I2" s="29">
        <v>55.44</v>
      </c>
      <c r="J2" s="29">
        <v>46.66</v>
      </c>
      <c r="K2" s="29">
        <v>1.56</v>
      </c>
      <c r="L2" s="29">
        <v>1.78</v>
      </c>
      <c r="M2" s="29">
        <v>2.63</v>
      </c>
      <c r="N2" s="29">
        <v>1.83</v>
      </c>
      <c r="O2" s="29">
        <v>26.3</v>
      </c>
      <c r="P2" s="29">
        <v>18.329999999999998</v>
      </c>
      <c r="Q2" s="29">
        <v>44.63</v>
      </c>
      <c r="R2" s="29">
        <v>122.69</v>
      </c>
      <c r="S2" s="29">
        <v>228.43</v>
      </c>
      <c r="T2" s="29">
        <v>351.12</v>
      </c>
      <c r="U2" s="12">
        <v>198.75</v>
      </c>
      <c r="V2" s="29">
        <v>235.79</v>
      </c>
    </row>
    <row r="3" spans="1:22" ht="16" x14ac:dyDescent="0.2">
      <c r="A3" s="32" t="s">
        <v>2</v>
      </c>
      <c r="B3" t="s">
        <v>142</v>
      </c>
      <c r="C3">
        <v>24.431332999999999</v>
      </c>
      <c r="D3">
        <v>91.227110999999994</v>
      </c>
      <c r="E3" s="29">
        <v>5.39</v>
      </c>
      <c r="F3" s="29">
        <v>6.14</v>
      </c>
      <c r="G3" s="29">
        <v>0.12</v>
      </c>
      <c r="H3" s="29">
        <v>0.08</v>
      </c>
      <c r="I3" s="29">
        <v>49.63</v>
      </c>
      <c r="J3" s="29">
        <v>41.66</v>
      </c>
      <c r="K3" s="29">
        <v>2.0499999999999998</v>
      </c>
      <c r="L3" s="29">
        <v>2.0299999999999998</v>
      </c>
      <c r="M3" s="29">
        <v>0.96</v>
      </c>
      <c r="N3" s="29">
        <v>0.63</v>
      </c>
      <c r="O3" s="29">
        <v>9.6</v>
      </c>
      <c r="P3" s="29">
        <v>6.3</v>
      </c>
      <c r="Q3" s="29">
        <v>15.9</v>
      </c>
      <c r="R3" s="29">
        <v>59.04</v>
      </c>
      <c r="S3" s="29">
        <v>89.67</v>
      </c>
      <c r="T3" s="29">
        <v>148.71</v>
      </c>
      <c r="U3" s="29">
        <v>206.9</v>
      </c>
      <c r="V3" s="29">
        <v>151.29</v>
      </c>
    </row>
    <row r="4" spans="1:22" ht="16" x14ac:dyDescent="0.2">
      <c r="A4" s="32" t="s">
        <v>127</v>
      </c>
      <c r="B4" t="s">
        <v>143</v>
      </c>
      <c r="C4">
        <v>25.0229</v>
      </c>
      <c r="D4">
        <v>91.197500000000005</v>
      </c>
      <c r="E4" s="29">
        <v>5.86</v>
      </c>
      <c r="F4" s="29">
        <v>6.54</v>
      </c>
      <c r="G4" s="29">
        <v>0.11</v>
      </c>
      <c r="H4" s="29">
        <v>0.09</v>
      </c>
      <c r="I4" s="29">
        <v>67.56</v>
      </c>
      <c r="J4" s="29">
        <v>39.24</v>
      </c>
      <c r="K4" s="29">
        <v>1.37</v>
      </c>
      <c r="L4" s="29">
        <v>1.78</v>
      </c>
      <c r="M4" s="29">
        <v>1.1000000000000001</v>
      </c>
      <c r="N4" s="29">
        <v>0.84</v>
      </c>
      <c r="O4" s="29">
        <v>11</v>
      </c>
      <c r="P4" s="29">
        <v>8.3699999999999992</v>
      </c>
      <c r="Q4" s="29">
        <v>19.37</v>
      </c>
      <c r="R4" s="29">
        <v>45.21</v>
      </c>
      <c r="S4" s="29">
        <v>104.44</v>
      </c>
      <c r="T4" s="29">
        <v>149.65</v>
      </c>
      <c r="U4" s="29">
        <v>271.5</v>
      </c>
      <c r="V4" s="29">
        <v>159.84</v>
      </c>
    </row>
    <row r="5" spans="1:22" ht="16" x14ac:dyDescent="0.2">
      <c r="A5" s="32" t="s">
        <v>4</v>
      </c>
      <c r="B5" t="s">
        <v>144</v>
      </c>
      <c r="C5">
        <v>24.301138999999999</v>
      </c>
      <c r="D5">
        <v>91.534306000000001</v>
      </c>
      <c r="E5" s="29">
        <v>4.34</v>
      </c>
      <c r="F5" s="29">
        <v>5.28</v>
      </c>
      <c r="G5" s="29">
        <v>0.11</v>
      </c>
      <c r="H5" s="29">
        <v>0.04</v>
      </c>
      <c r="I5" s="29">
        <v>33.56</v>
      </c>
      <c r="J5" s="29">
        <v>28.57</v>
      </c>
      <c r="K5" s="29">
        <v>1.66</v>
      </c>
      <c r="L5" s="29">
        <v>1.8</v>
      </c>
      <c r="M5" s="29">
        <v>1.325</v>
      </c>
      <c r="N5" s="29">
        <v>0.35</v>
      </c>
      <c r="O5" s="29">
        <v>13.25</v>
      </c>
      <c r="P5" s="29">
        <v>3.45</v>
      </c>
      <c r="Q5" s="29">
        <v>16.7</v>
      </c>
      <c r="R5" s="29">
        <v>65.790000000000006</v>
      </c>
      <c r="S5" s="29">
        <v>43.35</v>
      </c>
      <c r="T5" s="29">
        <v>109.14</v>
      </c>
      <c r="U5" s="29">
        <v>167.48</v>
      </c>
      <c r="V5" s="29">
        <v>127.84</v>
      </c>
    </row>
    <row r="6" spans="1:22" ht="16" x14ac:dyDescent="0.2">
      <c r="A6" s="32" t="s">
        <v>5</v>
      </c>
      <c r="B6" t="s">
        <v>145</v>
      </c>
      <c r="C6">
        <v>24.282693999999999</v>
      </c>
      <c r="D6">
        <v>91.244305999999995</v>
      </c>
      <c r="E6" s="29">
        <v>4.0199999999999996</v>
      </c>
      <c r="F6" s="29">
        <v>5.54</v>
      </c>
      <c r="G6" s="29">
        <v>0.13</v>
      </c>
      <c r="H6" s="29">
        <v>7.0000000000000007E-2</v>
      </c>
      <c r="I6" s="29">
        <v>35.96</v>
      </c>
      <c r="J6" s="29">
        <v>32.700000000000003</v>
      </c>
      <c r="K6" s="29">
        <v>1.69</v>
      </c>
      <c r="L6" s="29">
        <v>2.08</v>
      </c>
      <c r="M6" s="29">
        <v>1.22</v>
      </c>
      <c r="N6" s="29">
        <v>0.62</v>
      </c>
      <c r="O6" s="29">
        <v>12.2</v>
      </c>
      <c r="P6" s="29">
        <v>6.17</v>
      </c>
      <c r="Q6" s="29">
        <v>18.37</v>
      </c>
      <c r="R6" s="29">
        <v>61.67</v>
      </c>
      <c r="S6" s="29">
        <v>89.79</v>
      </c>
      <c r="T6" s="29">
        <v>151.46</v>
      </c>
      <c r="U6" s="29">
        <v>180.39</v>
      </c>
      <c r="V6" s="29">
        <v>138.46</v>
      </c>
    </row>
    <row r="7" spans="1:22" ht="16" x14ac:dyDescent="0.2">
      <c r="A7" s="32" t="s">
        <v>6</v>
      </c>
      <c r="B7" t="s">
        <v>144</v>
      </c>
      <c r="C7">
        <v>24.902556000000001</v>
      </c>
      <c r="D7">
        <v>91.005250000000004</v>
      </c>
      <c r="E7" s="29">
        <v>5.25</v>
      </c>
      <c r="F7" s="29">
        <v>5.83</v>
      </c>
      <c r="G7" s="29">
        <v>0.1</v>
      </c>
      <c r="H7" s="29">
        <v>7.0000000000000007E-2</v>
      </c>
      <c r="I7" s="29">
        <v>48.88</v>
      </c>
      <c r="J7" s="29">
        <v>63.41</v>
      </c>
      <c r="K7" s="29">
        <v>1.61</v>
      </c>
      <c r="L7" s="29">
        <v>1.25</v>
      </c>
      <c r="M7" s="29">
        <v>0.63500000000000001</v>
      </c>
      <c r="N7" s="29">
        <v>0.77</v>
      </c>
      <c r="O7" s="29">
        <v>6.35</v>
      </c>
      <c r="P7" s="29">
        <v>7.73</v>
      </c>
      <c r="Q7" s="29">
        <v>14.08</v>
      </c>
      <c r="R7" s="29">
        <v>30.67</v>
      </c>
      <c r="S7" s="29">
        <v>67.67</v>
      </c>
      <c r="T7" s="29">
        <v>98.34</v>
      </c>
      <c r="U7" s="29">
        <v>203.98</v>
      </c>
      <c r="V7" s="29">
        <v>241.66</v>
      </c>
    </row>
    <row r="8" spans="1:22" ht="16" x14ac:dyDescent="0.2">
      <c r="A8" s="32" t="s">
        <v>7</v>
      </c>
      <c r="B8" t="s">
        <v>146</v>
      </c>
      <c r="C8">
        <v>24.103722000000001</v>
      </c>
      <c r="D8">
        <v>91.144582999999997</v>
      </c>
      <c r="E8" s="29">
        <v>4.1900000000000004</v>
      </c>
      <c r="F8" s="29">
        <v>5.22</v>
      </c>
      <c r="G8" s="29">
        <v>0.12</v>
      </c>
      <c r="H8" s="29">
        <v>0.13</v>
      </c>
      <c r="I8" s="29">
        <v>37.270000000000003</v>
      </c>
      <c r="J8" s="29">
        <v>23.26</v>
      </c>
      <c r="K8" s="29">
        <v>1.86</v>
      </c>
      <c r="L8" s="29">
        <v>2</v>
      </c>
      <c r="M8" s="29">
        <v>1.0349999999999999</v>
      </c>
      <c r="N8" s="29">
        <v>0.28000000000000003</v>
      </c>
      <c r="O8" s="29">
        <v>10.35</v>
      </c>
      <c r="P8" s="29">
        <v>2.75</v>
      </c>
      <c r="Q8" s="29">
        <v>13.1</v>
      </c>
      <c r="R8" s="29">
        <v>57.75</v>
      </c>
      <c r="S8" s="29">
        <v>38.5</v>
      </c>
      <c r="T8" s="29">
        <v>96.25</v>
      </c>
      <c r="U8" s="29">
        <v>184.29</v>
      </c>
      <c r="V8" s="29">
        <v>115.65</v>
      </c>
    </row>
    <row r="9" spans="1:22" ht="16" x14ac:dyDescent="0.2">
      <c r="A9" s="32" t="s">
        <v>8</v>
      </c>
      <c r="B9" t="s">
        <v>144</v>
      </c>
      <c r="C9">
        <v>24.592193999999999</v>
      </c>
      <c r="D9">
        <v>91.300388999999996</v>
      </c>
      <c r="E9" s="29">
        <v>4.3099999999999996</v>
      </c>
      <c r="F9" s="29">
        <v>5.27</v>
      </c>
      <c r="G9" s="29">
        <v>0.13</v>
      </c>
      <c r="H9" s="29">
        <v>0.08</v>
      </c>
      <c r="I9" s="29">
        <v>31.69</v>
      </c>
      <c r="J9" s="29">
        <v>29.5</v>
      </c>
      <c r="K9" s="29">
        <v>1.84</v>
      </c>
      <c r="L9" s="29">
        <v>2.0499999999999998</v>
      </c>
      <c r="M9" s="29">
        <v>1.425</v>
      </c>
      <c r="N9" s="29">
        <v>1.02</v>
      </c>
      <c r="O9" s="29">
        <v>14.25</v>
      </c>
      <c r="P9" s="29">
        <v>10.199999999999999</v>
      </c>
      <c r="Q9" s="29">
        <v>24.45</v>
      </c>
      <c r="R9" s="29">
        <v>78.66</v>
      </c>
      <c r="S9" s="29">
        <v>146.37</v>
      </c>
      <c r="T9" s="29">
        <v>225.03</v>
      </c>
      <c r="U9" s="29">
        <v>167.49</v>
      </c>
      <c r="V9" s="29">
        <v>152.49</v>
      </c>
    </row>
    <row r="10" spans="1:22" ht="16" x14ac:dyDescent="0.2">
      <c r="A10" s="32" t="s">
        <v>9</v>
      </c>
      <c r="B10" t="s">
        <v>144</v>
      </c>
      <c r="C10">
        <v>24.810611000000002</v>
      </c>
      <c r="D10">
        <v>91.380499999999998</v>
      </c>
      <c r="E10" s="29">
        <v>5.24</v>
      </c>
      <c r="F10" s="29">
        <v>6.47</v>
      </c>
      <c r="G10" s="29">
        <v>0.13</v>
      </c>
      <c r="H10" s="29">
        <v>0.12</v>
      </c>
      <c r="I10" s="29">
        <v>72.2</v>
      </c>
      <c r="J10" s="29">
        <v>53.34</v>
      </c>
      <c r="K10" s="29">
        <v>1.25</v>
      </c>
      <c r="L10" s="29">
        <v>1.58</v>
      </c>
      <c r="M10" s="29">
        <v>1.1399999999999999</v>
      </c>
      <c r="N10" s="29">
        <v>0.78</v>
      </c>
      <c r="O10" s="29">
        <v>11.4</v>
      </c>
      <c r="P10" s="29">
        <v>7.77</v>
      </c>
      <c r="Q10" s="29">
        <v>19.170000000000002</v>
      </c>
      <c r="R10" s="29">
        <v>42.75</v>
      </c>
      <c r="S10" s="29">
        <v>86.08</v>
      </c>
      <c r="T10" s="29">
        <v>128.83000000000001</v>
      </c>
      <c r="U10" s="12">
        <v>325</v>
      </c>
      <c r="V10" s="29">
        <v>235.72</v>
      </c>
    </row>
    <row r="11" spans="1:22" x14ac:dyDescent="0.2">
      <c r="A11" s="34" t="s">
        <v>36</v>
      </c>
      <c r="C11" s="35"/>
      <c r="D11" s="29">
        <v>5.08</v>
      </c>
      <c r="E11" s="29">
        <v>4.91</v>
      </c>
      <c r="F11" s="29">
        <v>7.0000000000000007E-2</v>
      </c>
      <c r="G11" s="29">
        <v>0.03</v>
      </c>
      <c r="H11" s="29">
        <v>42.33</v>
      </c>
      <c r="I11" s="29">
        <v>36</v>
      </c>
      <c r="J11" s="29">
        <v>1.53</v>
      </c>
      <c r="K11" s="29">
        <v>1.44</v>
      </c>
      <c r="L11" s="29">
        <v>0.79</v>
      </c>
      <c r="M11" s="29">
        <v>0.33</v>
      </c>
      <c r="N11" s="29">
        <v>7.9</v>
      </c>
      <c r="O11" s="29">
        <v>3.3</v>
      </c>
      <c r="P11" s="29">
        <v>11.2</v>
      </c>
      <c r="Q11" s="29">
        <v>36.26</v>
      </c>
      <c r="R11" s="29">
        <v>33.26</v>
      </c>
      <c r="S11" s="29">
        <v>69.53</v>
      </c>
      <c r="T11" s="29"/>
      <c r="U11" s="29"/>
    </row>
    <row r="12" spans="1:22" x14ac:dyDescent="0.2">
      <c r="A12" s="34" t="s">
        <v>38</v>
      </c>
      <c r="B12" s="35"/>
      <c r="C12" s="35"/>
      <c r="D12" s="29">
        <v>5.6</v>
      </c>
      <c r="E12" s="29">
        <v>5.81</v>
      </c>
      <c r="F12" s="29">
        <v>7.0000000000000007E-2</v>
      </c>
      <c r="G12" s="29">
        <v>0.09</v>
      </c>
      <c r="H12" s="29">
        <v>50</v>
      </c>
      <c r="I12" s="29">
        <v>61.67</v>
      </c>
      <c r="J12" s="29">
        <v>1.67</v>
      </c>
      <c r="K12" s="29">
        <v>1.73</v>
      </c>
      <c r="L12" s="29">
        <v>0.81</v>
      </c>
      <c r="M12" s="29">
        <v>0.53</v>
      </c>
      <c r="N12" s="29">
        <v>8.1</v>
      </c>
      <c r="O12" s="29">
        <v>5.3</v>
      </c>
      <c r="P12" s="29">
        <v>13.4</v>
      </c>
      <c r="Q12" s="29">
        <v>40.58</v>
      </c>
      <c r="R12" s="29">
        <v>64.180000000000007</v>
      </c>
      <c r="S12" s="29">
        <v>104.76</v>
      </c>
      <c r="T12" s="29"/>
      <c r="U12" s="29"/>
    </row>
    <row r="13" spans="1:22" x14ac:dyDescent="0.2">
      <c r="A13" s="34" t="s">
        <v>39</v>
      </c>
      <c r="B13" s="35"/>
      <c r="C13" s="35"/>
      <c r="D13" s="29">
        <v>6.86</v>
      </c>
      <c r="E13" s="29">
        <v>6.67</v>
      </c>
      <c r="F13" s="29">
        <v>0.08</v>
      </c>
      <c r="G13" s="29">
        <v>7.0000000000000007E-2</v>
      </c>
      <c r="H13" s="29">
        <v>6</v>
      </c>
      <c r="I13" s="29">
        <v>6</v>
      </c>
      <c r="J13" s="29">
        <v>1.48</v>
      </c>
      <c r="K13" s="29">
        <v>1.6</v>
      </c>
      <c r="L13" s="29">
        <v>0.2</v>
      </c>
      <c r="M13" s="29">
        <v>0.16</v>
      </c>
      <c r="N13" s="29">
        <v>2</v>
      </c>
      <c r="O13" s="29">
        <v>1.6</v>
      </c>
      <c r="P13" s="29">
        <v>3.6</v>
      </c>
      <c r="Q13" s="29">
        <v>8.8800000000000008</v>
      </c>
      <c r="R13" s="29">
        <v>17.920000000000002</v>
      </c>
      <c r="S13" s="29">
        <v>26.8</v>
      </c>
      <c r="T13" s="29"/>
      <c r="U13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84A6-110A-CF40-B385-167D9101AEFF}">
  <dimension ref="A1:N19"/>
  <sheetViews>
    <sheetView workbookViewId="0">
      <selection activeCell="K20" sqref="K20"/>
    </sheetView>
  </sheetViews>
  <sheetFormatPr baseColWidth="10" defaultRowHeight="15" x14ac:dyDescent="0.2"/>
  <sheetData>
    <row r="1" spans="1:14" ht="16" x14ac:dyDescent="0.2">
      <c r="A1" s="29" t="s">
        <v>103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0" t="s">
        <v>36</v>
      </c>
      <c r="L1" s="30" t="s">
        <v>38</v>
      </c>
      <c r="M1" s="30" t="s">
        <v>39</v>
      </c>
      <c r="N1" s="33"/>
    </row>
    <row r="2" spans="1:14" x14ac:dyDescent="0.2">
      <c r="A2" s="29" t="s">
        <v>113</v>
      </c>
      <c r="B2" s="29">
        <v>4.8</v>
      </c>
      <c r="C2" s="29">
        <v>5.18</v>
      </c>
      <c r="D2" s="29">
        <v>5.25</v>
      </c>
      <c r="E2" s="29">
        <v>5.6</v>
      </c>
      <c r="F2" s="29">
        <v>4.4000000000000004</v>
      </c>
      <c r="G2" s="29">
        <v>4.7</v>
      </c>
      <c r="H2" s="29">
        <v>4.1500000000000004</v>
      </c>
      <c r="I2" s="29">
        <v>4.8</v>
      </c>
      <c r="J2" s="29">
        <v>5.05</v>
      </c>
      <c r="K2" s="29"/>
      <c r="L2" s="29"/>
      <c r="M2" s="29"/>
    </row>
    <row r="3" spans="1:14" x14ac:dyDescent="0.2">
      <c r="A3" s="29" t="s">
        <v>114</v>
      </c>
      <c r="B3" s="29">
        <v>5.4</v>
      </c>
      <c r="C3" s="29">
        <v>5.28</v>
      </c>
      <c r="D3" s="29">
        <v>5.73</v>
      </c>
      <c r="E3" s="29">
        <v>0</v>
      </c>
      <c r="F3" s="29">
        <v>5.73</v>
      </c>
      <c r="G3" s="29">
        <v>6.7</v>
      </c>
      <c r="H3" s="29">
        <v>3.6</v>
      </c>
      <c r="I3" s="29">
        <v>4.7699999999999996</v>
      </c>
      <c r="J3" s="29">
        <v>5.67</v>
      </c>
      <c r="K3" s="29"/>
      <c r="L3" s="29"/>
      <c r="M3" s="29"/>
    </row>
    <row r="4" spans="1:14" x14ac:dyDescent="0.2">
      <c r="A4" s="29" t="s">
        <v>115</v>
      </c>
      <c r="B4" s="29">
        <v>0.16</v>
      </c>
      <c r="C4" s="29">
        <v>0.08</v>
      </c>
      <c r="D4" s="29">
        <v>0.1</v>
      </c>
      <c r="E4" s="29">
        <v>0.42</v>
      </c>
      <c r="F4" s="29">
        <v>0.19</v>
      </c>
      <c r="G4" s="29">
        <v>0.19</v>
      </c>
      <c r="H4" s="29">
        <v>0.39</v>
      </c>
      <c r="I4" s="29">
        <v>0.17</v>
      </c>
      <c r="J4" s="29">
        <v>0.26</v>
      </c>
      <c r="K4" s="29"/>
      <c r="L4" s="29"/>
      <c r="M4" s="29"/>
    </row>
    <row r="5" spans="1:14" x14ac:dyDescent="0.2">
      <c r="A5" s="29" t="s">
        <v>116</v>
      </c>
      <c r="B5" s="29">
        <v>7.0000000000000007E-2</v>
      </c>
      <c r="C5" s="29">
        <v>0.06</v>
      </c>
      <c r="D5" s="29">
        <v>0.08</v>
      </c>
      <c r="E5" s="29">
        <v>0.49</v>
      </c>
      <c r="F5" s="29">
        <v>0.09</v>
      </c>
      <c r="G5" s="29">
        <v>0.1</v>
      </c>
      <c r="H5" s="29">
        <v>0.49</v>
      </c>
      <c r="I5" s="29">
        <v>0.18</v>
      </c>
      <c r="J5" s="29">
        <v>0.1</v>
      </c>
      <c r="K5" s="29"/>
      <c r="L5" s="29"/>
      <c r="M5" s="29"/>
    </row>
    <row r="6" spans="1:14" x14ac:dyDescent="0.2">
      <c r="A6" s="29" t="s">
        <v>117</v>
      </c>
      <c r="B6" s="29">
        <v>56</v>
      </c>
      <c r="C6" s="29">
        <v>17.45</v>
      </c>
      <c r="D6" s="29">
        <v>21</v>
      </c>
      <c r="E6" s="29">
        <v>16.5</v>
      </c>
      <c r="F6" s="29">
        <v>57.5</v>
      </c>
      <c r="G6" s="29">
        <v>74</v>
      </c>
      <c r="H6" s="29">
        <v>36.200000000000003</v>
      </c>
      <c r="I6" s="29">
        <v>58.5</v>
      </c>
      <c r="J6" s="29">
        <v>73.5</v>
      </c>
      <c r="K6" s="29"/>
      <c r="L6" s="29"/>
      <c r="M6" s="29"/>
    </row>
    <row r="7" spans="1:14" x14ac:dyDescent="0.2">
      <c r="A7" s="29" t="s">
        <v>118</v>
      </c>
      <c r="B7" s="29">
        <v>40.33</v>
      </c>
      <c r="C7" s="29">
        <v>20.63</v>
      </c>
      <c r="D7" s="29">
        <v>25.67</v>
      </c>
      <c r="E7" s="29">
        <v>5.5</v>
      </c>
      <c r="F7" s="29">
        <v>41.33</v>
      </c>
      <c r="G7" s="29">
        <v>48.33</v>
      </c>
      <c r="H7" s="29">
        <v>26.35</v>
      </c>
      <c r="I7" s="29">
        <v>50.67</v>
      </c>
      <c r="J7" s="29">
        <v>47.67</v>
      </c>
      <c r="K7" s="29"/>
      <c r="L7" s="29"/>
      <c r="M7" s="29"/>
    </row>
    <row r="8" spans="1:14" x14ac:dyDescent="0.2">
      <c r="A8" s="29" t="s">
        <v>119</v>
      </c>
      <c r="B8" s="29">
        <v>2.56</v>
      </c>
      <c r="C8" s="29">
        <v>1.88</v>
      </c>
      <c r="D8" s="29">
        <v>2.11</v>
      </c>
      <c r="E8" s="29">
        <v>1.46</v>
      </c>
      <c r="F8" s="29">
        <v>1.71</v>
      </c>
      <c r="G8" s="29">
        <v>2.91</v>
      </c>
      <c r="H8" s="29">
        <v>1.96</v>
      </c>
      <c r="I8" s="29">
        <v>2.6</v>
      </c>
      <c r="J8" s="29">
        <v>2.82</v>
      </c>
      <c r="K8" s="29"/>
      <c r="L8" s="29"/>
      <c r="M8" s="29"/>
    </row>
    <row r="9" spans="1:14" x14ac:dyDescent="0.2">
      <c r="A9" s="29" t="s">
        <v>120</v>
      </c>
      <c r="B9" s="29">
        <v>2.36</v>
      </c>
      <c r="C9" s="29">
        <v>1.9</v>
      </c>
      <c r="D9" s="29">
        <v>2.04</v>
      </c>
      <c r="E9" s="29">
        <v>1.1299999999999999</v>
      </c>
      <c r="F9" s="29">
        <v>2.0499999999999998</v>
      </c>
      <c r="G9" s="29">
        <v>2.38</v>
      </c>
      <c r="H9" s="29">
        <v>1.7</v>
      </c>
      <c r="I9" s="29">
        <v>2.4500000000000002</v>
      </c>
      <c r="J9" s="29">
        <v>2.36</v>
      </c>
      <c r="K9" s="29"/>
      <c r="L9" s="29"/>
      <c r="M9" s="29"/>
    </row>
    <row r="10" spans="1:14" x14ac:dyDescent="0.2">
      <c r="A10" s="29" t="s">
        <v>134</v>
      </c>
      <c r="B10" s="29">
        <v>1.23</v>
      </c>
      <c r="C10" s="29">
        <v>0.57499999999999996</v>
      </c>
      <c r="D10" s="29">
        <v>0.88500000000000001</v>
      </c>
      <c r="E10" s="29">
        <v>7.01</v>
      </c>
      <c r="F10" s="29">
        <v>1.63</v>
      </c>
      <c r="G10" s="29">
        <v>1.7749999999999999</v>
      </c>
      <c r="H10" s="29">
        <v>4.2949999999999999</v>
      </c>
      <c r="I10" s="29">
        <v>1.4450000000000001</v>
      </c>
      <c r="J10" s="29">
        <v>3.2549999999999999</v>
      </c>
      <c r="K10" s="29"/>
      <c r="L10" s="29"/>
      <c r="M10" s="29"/>
    </row>
    <row r="11" spans="1:14" x14ac:dyDescent="0.2">
      <c r="A11" s="29" t="s">
        <v>135</v>
      </c>
      <c r="B11" s="29">
        <v>0.41</v>
      </c>
      <c r="C11" s="29">
        <v>0.38</v>
      </c>
      <c r="D11" s="29">
        <v>0.66</v>
      </c>
      <c r="E11" s="29">
        <v>12.99</v>
      </c>
      <c r="F11" s="29">
        <v>0.68</v>
      </c>
      <c r="G11" s="29">
        <v>1.32</v>
      </c>
      <c r="H11" s="29">
        <v>5.6</v>
      </c>
      <c r="I11" s="29">
        <v>1.2</v>
      </c>
      <c r="J11" s="29">
        <v>1.37</v>
      </c>
      <c r="K11" s="29"/>
      <c r="L11" s="29"/>
      <c r="M11" s="29"/>
    </row>
    <row r="12" spans="1:14" x14ac:dyDescent="0.2">
      <c r="A12" s="29" t="s">
        <v>136</v>
      </c>
      <c r="B12" s="29">
        <v>12.3</v>
      </c>
      <c r="C12" s="29">
        <v>5.75</v>
      </c>
      <c r="D12" s="29">
        <v>8.85</v>
      </c>
      <c r="E12" s="29">
        <v>70.099999999999994</v>
      </c>
      <c r="F12" s="29">
        <v>16.3</v>
      </c>
      <c r="G12" s="29">
        <v>17.75</v>
      </c>
      <c r="H12" s="29">
        <v>42.95</v>
      </c>
      <c r="I12" s="29">
        <v>14.45</v>
      </c>
      <c r="J12" s="29">
        <v>32.549999999999997</v>
      </c>
      <c r="K12" s="29"/>
      <c r="L12" s="29"/>
      <c r="M12" s="29"/>
    </row>
    <row r="13" spans="1:14" x14ac:dyDescent="0.2">
      <c r="A13" s="29" t="s">
        <v>137</v>
      </c>
      <c r="B13" s="29">
        <v>4.07</v>
      </c>
      <c r="C13" s="29">
        <v>3.8</v>
      </c>
      <c r="D13" s="29">
        <v>6.6</v>
      </c>
      <c r="E13" s="29">
        <v>129.9</v>
      </c>
      <c r="F13" s="29">
        <v>6.8</v>
      </c>
      <c r="G13" s="29">
        <v>13.15</v>
      </c>
      <c r="H13" s="29">
        <v>56</v>
      </c>
      <c r="I13" s="29">
        <v>12</v>
      </c>
      <c r="J13" s="29">
        <v>13.7</v>
      </c>
      <c r="K13" s="29"/>
      <c r="L13" s="29"/>
      <c r="M13" s="29"/>
    </row>
    <row r="14" spans="1:14" x14ac:dyDescent="0.2">
      <c r="A14" s="31" t="s">
        <v>133</v>
      </c>
      <c r="B14" s="29">
        <v>16.37</v>
      </c>
      <c r="C14" s="29">
        <v>9.5500000000000007</v>
      </c>
      <c r="D14" s="29">
        <v>15.45</v>
      </c>
      <c r="E14" s="29">
        <v>200</v>
      </c>
      <c r="F14" s="29">
        <v>23.1</v>
      </c>
      <c r="G14" s="29">
        <v>30.9</v>
      </c>
      <c r="H14" s="29">
        <v>98.95</v>
      </c>
      <c r="I14" s="29">
        <v>26.45</v>
      </c>
      <c r="J14" s="29">
        <v>46.25</v>
      </c>
      <c r="K14" s="29"/>
      <c r="L14" s="29"/>
      <c r="M14" s="29"/>
    </row>
    <row r="15" spans="1:14" x14ac:dyDescent="0.2">
      <c r="A15" s="29" t="s">
        <v>122</v>
      </c>
      <c r="B15" s="29">
        <v>94.53</v>
      </c>
      <c r="C15" s="29">
        <v>32.46</v>
      </c>
      <c r="D15" s="29">
        <v>56.02</v>
      </c>
      <c r="E15" s="29">
        <v>306.23</v>
      </c>
      <c r="F15" s="29">
        <v>83.62</v>
      </c>
      <c r="G15" s="29">
        <v>154.99</v>
      </c>
      <c r="H15" s="29">
        <v>252.17</v>
      </c>
      <c r="I15" s="29">
        <v>112.52</v>
      </c>
      <c r="J15" s="29">
        <v>275.22000000000003</v>
      </c>
      <c r="K15" s="29"/>
      <c r="L15" s="29"/>
      <c r="M15" s="29"/>
    </row>
    <row r="16" spans="1:14" x14ac:dyDescent="0.2">
      <c r="A16" s="29" t="s">
        <v>123</v>
      </c>
      <c r="B16" s="29">
        <v>67.290000000000006</v>
      </c>
      <c r="C16" s="29">
        <v>50.6</v>
      </c>
      <c r="D16" s="29">
        <v>94.2</v>
      </c>
      <c r="E16" s="29">
        <v>1028.02</v>
      </c>
      <c r="F16" s="29">
        <v>97.58</v>
      </c>
      <c r="G16" s="29">
        <v>219.4</v>
      </c>
      <c r="H16" s="29">
        <v>667.93</v>
      </c>
      <c r="I16" s="29">
        <v>205.58</v>
      </c>
      <c r="J16" s="29">
        <v>226.64</v>
      </c>
      <c r="K16" s="29"/>
      <c r="L16" s="29"/>
      <c r="M16" s="29"/>
    </row>
    <row r="17" spans="1:13" x14ac:dyDescent="0.2">
      <c r="A17" s="31" t="s">
        <v>124</v>
      </c>
      <c r="B17" s="29">
        <v>161.82</v>
      </c>
      <c r="C17" s="29">
        <v>83.06</v>
      </c>
      <c r="D17" s="29">
        <v>150.22</v>
      </c>
      <c r="E17" s="29">
        <v>1334.25</v>
      </c>
      <c r="F17" s="29">
        <v>181.2</v>
      </c>
      <c r="G17" s="29">
        <v>374.4</v>
      </c>
      <c r="H17" s="29">
        <v>920.09</v>
      </c>
      <c r="I17" s="29">
        <v>318.10000000000002</v>
      </c>
      <c r="J17" s="29">
        <v>501.87</v>
      </c>
      <c r="K17" s="29"/>
      <c r="L17" s="29"/>
      <c r="M17" s="29"/>
    </row>
    <row r="18" spans="1:13" x14ac:dyDescent="0.2">
      <c r="A18" s="29" t="s">
        <v>125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1:13" x14ac:dyDescent="0.2">
      <c r="A19" s="29" t="s">
        <v>126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D034-FF3B-8C4C-8D06-5AF98D8B2D79}">
  <dimension ref="A1:T13"/>
  <sheetViews>
    <sheetView workbookViewId="0">
      <selection activeCell="P1" sqref="P1"/>
    </sheetView>
  </sheetViews>
  <sheetFormatPr baseColWidth="10" defaultRowHeight="15" x14ac:dyDescent="0.2"/>
  <sheetData>
    <row r="1" spans="1:20" x14ac:dyDescent="0.2">
      <c r="A1" t="s">
        <v>103</v>
      </c>
      <c r="B1" t="s">
        <v>128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129</v>
      </c>
      <c r="L1" t="s">
        <v>130</v>
      </c>
      <c r="M1" t="s">
        <v>131</v>
      </c>
      <c r="N1" t="s">
        <v>132</v>
      </c>
      <c r="O1" s="8" t="s">
        <v>121</v>
      </c>
      <c r="P1" t="s">
        <v>122</v>
      </c>
      <c r="Q1" t="s">
        <v>123</v>
      </c>
      <c r="R1" s="8" t="s">
        <v>124</v>
      </c>
      <c r="S1" t="s">
        <v>125</v>
      </c>
      <c r="T1" t="s">
        <v>126</v>
      </c>
    </row>
    <row r="2" spans="1:20" ht="16" x14ac:dyDescent="0.2">
      <c r="A2" s="2" t="s">
        <v>1</v>
      </c>
      <c r="B2" t="s">
        <v>10</v>
      </c>
      <c r="C2">
        <v>4.0999999999999996</v>
      </c>
      <c r="D2">
        <v>3.97</v>
      </c>
      <c r="E2">
        <v>0.15</v>
      </c>
      <c r="F2">
        <v>0.08</v>
      </c>
      <c r="G2">
        <v>55.44</v>
      </c>
      <c r="H2">
        <v>46.66</v>
      </c>
      <c r="I2">
        <v>1.56</v>
      </c>
      <c r="J2">
        <v>1.78</v>
      </c>
      <c r="K2">
        <v>2.63</v>
      </c>
      <c r="L2">
        <v>1.83</v>
      </c>
      <c r="M2">
        <v>26.3</v>
      </c>
      <c r="N2">
        <v>18.329999999999998</v>
      </c>
      <c r="O2">
        <v>44.63</v>
      </c>
      <c r="P2">
        <v>122.69</v>
      </c>
      <c r="Q2">
        <v>228.43</v>
      </c>
      <c r="R2">
        <v>351.12</v>
      </c>
      <c r="S2" s="17">
        <v>198.75</v>
      </c>
      <c r="T2">
        <v>235.79</v>
      </c>
    </row>
    <row r="3" spans="1:20" ht="16" x14ac:dyDescent="0.2">
      <c r="A3" s="2" t="s">
        <v>2</v>
      </c>
      <c r="B3" t="s">
        <v>10</v>
      </c>
      <c r="C3">
        <v>5.39</v>
      </c>
      <c r="D3">
        <v>6.14</v>
      </c>
      <c r="E3">
        <v>0.12</v>
      </c>
      <c r="F3">
        <v>0.08</v>
      </c>
      <c r="G3">
        <v>49.63</v>
      </c>
      <c r="H3">
        <v>41.66</v>
      </c>
      <c r="I3">
        <v>2.0499999999999998</v>
      </c>
      <c r="J3">
        <v>2.0299999999999998</v>
      </c>
      <c r="K3">
        <v>0.96</v>
      </c>
      <c r="L3">
        <v>0.63</v>
      </c>
      <c r="M3">
        <v>9.6</v>
      </c>
      <c r="N3">
        <v>6.3</v>
      </c>
      <c r="O3">
        <v>15.9</v>
      </c>
      <c r="P3">
        <v>59.04</v>
      </c>
      <c r="Q3">
        <v>89.67</v>
      </c>
      <c r="R3">
        <v>148.71</v>
      </c>
      <c r="S3">
        <v>206.9</v>
      </c>
      <c r="T3">
        <v>151.29</v>
      </c>
    </row>
    <row r="4" spans="1:20" x14ac:dyDescent="0.2">
      <c r="A4" t="s">
        <v>127</v>
      </c>
      <c r="B4" t="s">
        <v>10</v>
      </c>
      <c r="C4">
        <v>5.86</v>
      </c>
      <c r="D4">
        <v>6.54</v>
      </c>
      <c r="E4">
        <v>0.11</v>
      </c>
      <c r="F4">
        <v>0.09</v>
      </c>
      <c r="G4">
        <v>67.56</v>
      </c>
      <c r="H4">
        <v>39.24</v>
      </c>
      <c r="I4">
        <v>1.37</v>
      </c>
      <c r="J4">
        <v>1.78</v>
      </c>
      <c r="K4">
        <v>1.1000000000000001</v>
      </c>
      <c r="L4">
        <v>0.84</v>
      </c>
      <c r="M4">
        <v>11</v>
      </c>
      <c r="N4">
        <v>8.3699999999999992</v>
      </c>
      <c r="O4">
        <v>19.37</v>
      </c>
      <c r="P4">
        <v>45.21</v>
      </c>
      <c r="Q4">
        <v>104.44</v>
      </c>
      <c r="R4">
        <v>149.65</v>
      </c>
      <c r="S4">
        <v>271.5</v>
      </c>
      <c r="T4">
        <v>159.84</v>
      </c>
    </row>
    <row r="5" spans="1:20" x14ac:dyDescent="0.2">
      <c r="A5" t="s">
        <v>4</v>
      </c>
      <c r="B5" t="s">
        <v>10</v>
      </c>
      <c r="C5">
        <v>4.34</v>
      </c>
      <c r="D5">
        <v>5.28</v>
      </c>
      <c r="E5">
        <v>0.11</v>
      </c>
      <c r="F5">
        <v>0.04</v>
      </c>
      <c r="G5">
        <v>33.56</v>
      </c>
      <c r="H5">
        <v>28.57</v>
      </c>
      <c r="I5">
        <v>1.66</v>
      </c>
      <c r="J5">
        <v>1.8</v>
      </c>
      <c r="K5">
        <v>1.325</v>
      </c>
      <c r="L5">
        <v>0.35</v>
      </c>
      <c r="M5">
        <v>13.25</v>
      </c>
      <c r="N5">
        <v>3.45</v>
      </c>
      <c r="O5">
        <v>16.7</v>
      </c>
      <c r="P5">
        <v>65.790000000000006</v>
      </c>
      <c r="Q5">
        <v>43.35</v>
      </c>
      <c r="R5">
        <v>109.14</v>
      </c>
      <c r="S5">
        <v>167.48</v>
      </c>
      <c r="T5">
        <v>127.84</v>
      </c>
    </row>
    <row r="6" spans="1:20" x14ac:dyDescent="0.2">
      <c r="A6" t="s">
        <v>5</v>
      </c>
      <c r="B6" t="s">
        <v>10</v>
      </c>
      <c r="C6">
        <v>4.0199999999999996</v>
      </c>
      <c r="D6">
        <v>5.54</v>
      </c>
      <c r="E6">
        <v>0.13</v>
      </c>
      <c r="F6">
        <v>7.0000000000000007E-2</v>
      </c>
      <c r="G6">
        <v>35.96</v>
      </c>
      <c r="H6">
        <v>32.700000000000003</v>
      </c>
      <c r="I6">
        <v>1.69</v>
      </c>
      <c r="J6">
        <v>2.08</v>
      </c>
      <c r="K6">
        <v>1.22</v>
      </c>
      <c r="L6">
        <v>0.62</v>
      </c>
      <c r="M6">
        <v>12.2</v>
      </c>
      <c r="N6">
        <v>6.17</v>
      </c>
      <c r="O6">
        <v>18.37</v>
      </c>
      <c r="P6">
        <v>61.67</v>
      </c>
      <c r="Q6">
        <v>89.79</v>
      </c>
      <c r="R6">
        <v>151.46</v>
      </c>
      <c r="S6">
        <v>180.39</v>
      </c>
      <c r="T6">
        <v>138.46</v>
      </c>
    </row>
    <row r="7" spans="1:20" ht="15" customHeight="1" x14ac:dyDescent="0.2">
      <c r="A7" t="s">
        <v>6</v>
      </c>
      <c r="B7" t="s">
        <v>10</v>
      </c>
      <c r="C7">
        <v>5.25</v>
      </c>
      <c r="D7">
        <v>5.83</v>
      </c>
      <c r="E7">
        <v>0.1</v>
      </c>
      <c r="F7">
        <v>7.0000000000000007E-2</v>
      </c>
      <c r="G7">
        <v>48.88</v>
      </c>
      <c r="H7">
        <v>63.41</v>
      </c>
      <c r="I7">
        <v>1.61</v>
      </c>
      <c r="J7">
        <v>1.25</v>
      </c>
      <c r="K7">
        <v>0.63500000000000001</v>
      </c>
      <c r="L7">
        <v>0.77</v>
      </c>
      <c r="M7">
        <v>6.35</v>
      </c>
      <c r="N7">
        <v>7.73</v>
      </c>
      <c r="O7">
        <v>14.08</v>
      </c>
      <c r="P7">
        <v>30.67</v>
      </c>
      <c r="Q7">
        <v>67.67</v>
      </c>
      <c r="R7">
        <v>98.34</v>
      </c>
      <c r="S7">
        <v>203.98</v>
      </c>
      <c r="T7">
        <v>241.66</v>
      </c>
    </row>
    <row r="8" spans="1:20" ht="15" customHeight="1" x14ac:dyDescent="0.2">
      <c r="A8" t="s">
        <v>7</v>
      </c>
      <c r="B8" t="s">
        <v>10</v>
      </c>
      <c r="C8">
        <v>4.1900000000000004</v>
      </c>
      <c r="D8">
        <v>5.22</v>
      </c>
      <c r="E8">
        <v>0.12</v>
      </c>
      <c r="F8">
        <v>0.13</v>
      </c>
      <c r="G8">
        <v>37.270000000000003</v>
      </c>
      <c r="H8">
        <v>23.26</v>
      </c>
      <c r="I8">
        <v>1.86</v>
      </c>
      <c r="J8">
        <v>2</v>
      </c>
      <c r="K8">
        <v>1.0349999999999999</v>
      </c>
      <c r="L8">
        <v>0.28000000000000003</v>
      </c>
      <c r="M8">
        <v>10.35</v>
      </c>
      <c r="N8">
        <v>2.75</v>
      </c>
      <c r="O8">
        <v>13.1</v>
      </c>
      <c r="P8">
        <v>57.75</v>
      </c>
      <c r="Q8">
        <v>38.5</v>
      </c>
      <c r="R8">
        <v>96.25</v>
      </c>
      <c r="S8">
        <v>184.29</v>
      </c>
      <c r="T8">
        <v>115.65</v>
      </c>
    </row>
    <row r="9" spans="1:20" ht="15" customHeight="1" x14ac:dyDescent="0.2">
      <c r="A9" t="s">
        <v>8</v>
      </c>
      <c r="B9" t="s">
        <v>10</v>
      </c>
      <c r="C9">
        <v>4.3099999999999996</v>
      </c>
      <c r="D9">
        <v>5.27</v>
      </c>
      <c r="E9">
        <v>0.13</v>
      </c>
      <c r="F9">
        <v>0.08</v>
      </c>
      <c r="G9">
        <v>31.69</v>
      </c>
      <c r="H9">
        <v>29.5</v>
      </c>
      <c r="I9">
        <v>1.84</v>
      </c>
      <c r="J9">
        <v>2.0499999999999998</v>
      </c>
      <c r="K9">
        <v>1.425</v>
      </c>
      <c r="L9">
        <v>1.02</v>
      </c>
      <c r="M9">
        <v>14.25</v>
      </c>
      <c r="N9">
        <v>10.199999999999999</v>
      </c>
      <c r="O9">
        <v>24.45</v>
      </c>
      <c r="P9">
        <v>78.66</v>
      </c>
      <c r="Q9">
        <v>146.37</v>
      </c>
      <c r="R9">
        <v>225.03</v>
      </c>
      <c r="S9">
        <v>167.49</v>
      </c>
      <c r="T9">
        <v>152.49</v>
      </c>
    </row>
    <row r="10" spans="1:20" ht="15" customHeight="1" x14ac:dyDescent="0.2">
      <c r="A10" t="s">
        <v>9</v>
      </c>
      <c r="B10" t="s">
        <v>10</v>
      </c>
      <c r="C10">
        <v>5.24</v>
      </c>
      <c r="D10">
        <v>6.47</v>
      </c>
      <c r="E10">
        <v>0.13</v>
      </c>
      <c r="F10">
        <v>0.12</v>
      </c>
      <c r="G10">
        <v>72.2</v>
      </c>
      <c r="H10">
        <v>53.34</v>
      </c>
      <c r="I10">
        <v>1.25</v>
      </c>
      <c r="J10">
        <v>1.58</v>
      </c>
      <c r="K10">
        <v>1.1399999999999999</v>
      </c>
      <c r="L10">
        <v>0.78</v>
      </c>
      <c r="M10">
        <v>11.4</v>
      </c>
      <c r="N10">
        <v>7.77</v>
      </c>
      <c r="O10">
        <v>19.170000000000002</v>
      </c>
      <c r="P10">
        <v>42.75</v>
      </c>
      <c r="Q10">
        <v>86.08</v>
      </c>
      <c r="R10">
        <v>128.83000000000001</v>
      </c>
      <c r="S10" s="17">
        <v>325</v>
      </c>
      <c r="T10">
        <v>235.72</v>
      </c>
    </row>
    <row r="11" spans="1:20" ht="15" customHeight="1" x14ac:dyDescent="0.2">
      <c r="A11" t="s">
        <v>36</v>
      </c>
      <c r="B11" t="s">
        <v>105</v>
      </c>
      <c r="C11">
        <v>5.08</v>
      </c>
      <c r="D11">
        <v>4.91</v>
      </c>
      <c r="E11">
        <v>7.0000000000000007E-2</v>
      </c>
      <c r="F11">
        <v>0.03</v>
      </c>
      <c r="G11">
        <v>42.33</v>
      </c>
      <c r="H11">
        <v>36</v>
      </c>
      <c r="I11">
        <v>1.53</v>
      </c>
      <c r="J11">
        <v>1.44</v>
      </c>
      <c r="K11">
        <v>0.79</v>
      </c>
      <c r="L11">
        <v>0.33</v>
      </c>
      <c r="M11">
        <v>7.9</v>
      </c>
      <c r="N11">
        <v>3.3</v>
      </c>
      <c r="O11">
        <v>11.2</v>
      </c>
      <c r="P11">
        <v>36.26</v>
      </c>
      <c r="Q11">
        <v>33.26</v>
      </c>
      <c r="R11">
        <v>69.53</v>
      </c>
    </row>
    <row r="12" spans="1:20" ht="15" customHeight="1" x14ac:dyDescent="0.2">
      <c r="A12" t="s">
        <v>38</v>
      </c>
      <c r="B12" t="s">
        <v>10</v>
      </c>
      <c r="C12">
        <v>5.6</v>
      </c>
      <c r="D12">
        <v>5.81</v>
      </c>
      <c r="E12">
        <v>7.0000000000000007E-2</v>
      </c>
      <c r="F12">
        <v>0.09</v>
      </c>
      <c r="G12">
        <v>50</v>
      </c>
      <c r="H12">
        <v>61.67</v>
      </c>
      <c r="I12">
        <v>1.67</v>
      </c>
      <c r="J12">
        <v>1.73</v>
      </c>
      <c r="K12">
        <v>0.81</v>
      </c>
      <c r="L12">
        <v>0.53</v>
      </c>
      <c r="M12">
        <v>8.1</v>
      </c>
      <c r="N12">
        <v>5.3</v>
      </c>
      <c r="O12">
        <v>13.4</v>
      </c>
      <c r="P12">
        <v>40.58</v>
      </c>
      <c r="Q12">
        <v>64.180000000000007</v>
      </c>
      <c r="R12">
        <v>104.76</v>
      </c>
    </row>
    <row r="13" spans="1:20" ht="15" customHeight="1" x14ac:dyDescent="0.2">
      <c r="A13" t="s">
        <v>39</v>
      </c>
      <c r="B13" t="s">
        <v>105</v>
      </c>
      <c r="C13">
        <v>6.86</v>
      </c>
      <c r="D13">
        <v>6.67</v>
      </c>
      <c r="E13">
        <v>0.08</v>
      </c>
      <c r="F13">
        <v>7.0000000000000007E-2</v>
      </c>
      <c r="G13">
        <v>6</v>
      </c>
      <c r="H13">
        <v>6</v>
      </c>
      <c r="I13">
        <v>1.48</v>
      </c>
      <c r="J13">
        <v>1.6</v>
      </c>
      <c r="K13">
        <v>0.2</v>
      </c>
      <c r="L13">
        <v>0.16</v>
      </c>
      <c r="M13">
        <v>2</v>
      </c>
      <c r="N13">
        <v>1.6</v>
      </c>
      <c r="O13">
        <v>3.6</v>
      </c>
      <c r="P13">
        <v>8.8800000000000008</v>
      </c>
      <c r="Q13">
        <v>17.920000000000002</v>
      </c>
      <c r="R13">
        <v>26.8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F8F8-72D2-3B46-99D2-29A94F087F07}">
  <dimension ref="A1:R10"/>
  <sheetViews>
    <sheetView workbookViewId="0">
      <selection activeCell="N2" sqref="N2"/>
    </sheetView>
  </sheetViews>
  <sheetFormatPr baseColWidth="10" defaultRowHeight="15" x14ac:dyDescent="0.2"/>
  <sheetData>
    <row r="1" spans="1:18" x14ac:dyDescent="0.2">
      <c r="A1" t="s">
        <v>103</v>
      </c>
      <c r="B1" t="s">
        <v>128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129</v>
      </c>
      <c r="L1" t="s">
        <v>130</v>
      </c>
      <c r="M1" t="s">
        <v>131</v>
      </c>
      <c r="N1" t="s">
        <v>132</v>
      </c>
      <c r="O1" s="8" t="s">
        <v>121</v>
      </c>
      <c r="P1" t="s">
        <v>122</v>
      </c>
      <c r="Q1" t="s">
        <v>123</v>
      </c>
      <c r="R1" s="8" t="s">
        <v>124</v>
      </c>
    </row>
    <row r="2" spans="1:18" ht="16" x14ac:dyDescent="0.2">
      <c r="A2" s="2" t="s">
        <v>1</v>
      </c>
      <c r="B2" t="s">
        <v>11</v>
      </c>
      <c r="C2">
        <v>4.8</v>
      </c>
      <c r="D2">
        <v>5.4</v>
      </c>
      <c r="E2">
        <v>0.16</v>
      </c>
      <c r="F2">
        <v>7.0000000000000007E-2</v>
      </c>
      <c r="G2">
        <v>56</v>
      </c>
      <c r="H2">
        <v>40.33</v>
      </c>
      <c r="I2">
        <v>2.56</v>
      </c>
      <c r="J2">
        <v>2.36</v>
      </c>
      <c r="K2">
        <v>1.23</v>
      </c>
      <c r="L2">
        <v>0.41</v>
      </c>
      <c r="M2">
        <v>12.3</v>
      </c>
      <c r="N2">
        <v>4.07</v>
      </c>
      <c r="O2">
        <v>16.37</v>
      </c>
      <c r="P2">
        <v>94.53</v>
      </c>
      <c r="Q2">
        <v>67.290000000000006</v>
      </c>
      <c r="R2">
        <v>161.82</v>
      </c>
    </row>
    <row r="3" spans="1:18" ht="16" x14ac:dyDescent="0.2">
      <c r="A3" s="2" t="s">
        <v>2</v>
      </c>
      <c r="B3" t="s">
        <v>11</v>
      </c>
      <c r="C3">
        <v>5.18</v>
      </c>
      <c r="D3">
        <v>5.28</v>
      </c>
      <c r="E3">
        <v>0.08</v>
      </c>
      <c r="F3">
        <v>0.06</v>
      </c>
      <c r="G3">
        <v>17.45</v>
      </c>
      <c r="H3">
        <v>20.63</v>
      </c>
      <c r="I3">
        <v>1.88</v>
      </c>
      <c r="J3">
        <v>1.9</v>
      </c>
      <c r="K3">
        <v>0.57499999999999996</v>
      </c>
      <c r="L3">
        <v>0.38</v>
      </c>
      <c r="M3">
        <v>5.75</v>
      </c>
      <c r="N3">
        <v>3.8</v>
      </c>
      <c r="O3">
        <v>9.5500000000000007</v>
      </c>
      <c r="P3">
        <v>32.46</v>
      </c>
      <c r="Q3">
        <v>50.6</v>
      </c>
      <c r="R3">
        <v>83.06</v>
      </c>
    </row>
    <row r="4" spans="1:18" x14ac:dyDescent="0.2">
      <c r="A4" t="s">
        <v>127</v>
      </c>
      <c r="B4" t="s">
        <v>11</v>
      </c>
      <c r="C4">
        <v>5.25</v>
      </c>
      <c r="D4">
        <v>5.73</v>
      </c>
      <c r="E4">
        <v>0.1</v>
      </c>
      <c r="F4">
        <v>0.08</v>
      </c>
      <c r="G4">
        <v>21</v>
      </c>
      <c r="H4">
        <v>25.67</v>
      </c>
      <c r="I4">
        <v>2.11</v>
      </c>
      <c r="J4">
        <v>2.04</v>
      </c>
      <c r="K4">
        <v>0.88500000000000001</v>
      </c>
      <c r="L4">
        <v>0.66</v>
      </c>
      <c r="M4">
        <v>8.85</v>
      </c>
      <c r="N4">
        <v>6.6</v>
      </c>
      <c r="O4">
        <v>15.45</v>
      </c>
      <c r="P4">
        <v>56.02</v>
      </c>
      <c r="Q4">
        <v>94.2</v>
      </c>
      <c r="R4">
        <v>150.22</v>
      </c>
    </row>
    <row r="5" spans="1:18" x14ac:dyDescent="0.2">
      <c r="A5" t="s">
        <v>4</v>
      </c>
      <c r="B5" t="s">
        <v>11</v>
      </c>
      <c r="C5">
        <v>5.6</v>
      </c>
      <c r="D5">
        <v>0</v>
      </c>
      <c r="E5">
        <v>0.42</v>
      </c>
      <c r="F5">
        <v>0.49</v>
      </c>
      <c r="G5">
        <v>16.5</v>
      </c>
      <c r="H5">
        <v>5.5</v>
      </c>
      <c r="I5">
        <v>1.46</v>
      </c>
      <c r="J5">
        <v>1.1299999999999999</v>
      </c>
      <c r="K5">
        <v>7.01</v>
      </c>
      <c r="L5">
        <v>12.99</v>
      </c>
      <c r="M5">
        <v>70.099999999999994</v>
      </c>
      <c r="N5">
        <v>129.9</v>
      </c>
      <c r="O5">
        <v>200</v>
      </c>
      <c r="P5">
        <v>306.23</v>
      </c>
      <c r="Q5">
        <v>1028.02</v>
      </c>
      <c r="R5">
        <v>1334.25</v>
      </c>
    </row>
    <row r="6" spans="1:18" x14ac:dyDescent="0.2">
      <c r="A6" t="s">
        <v>5</v>
      </c>
      <c r="B6" t="s">
        <v>11</v>
      </c>
      <c r="C6">
        <v>4.4000000000000004</v>
      </c>
      <c r="D6">
        <v>5.73</v>
      </c>
      <c r="E6">
        <v>0.19</v>
      </c>
      <c r="F6">
        <v>0.09</v>
      </c>
      <c r="G6">
        <v>57.5</v>
      </c>
      <c r="H6">
        <v>41.33</v>
      </c>
      <c r="I6">
        <v>1.71</v>
      </c>
      <c r="J6">
        <v>2.0499999999999998</v>
      </c>
      <c r="K6">
        <v>1.63</v>
      </c>
      <c r="L6">
        <v>0.68</v>
      </c>
      <c r="M6">
        <v>16.3</v>
      </c>
      <c r="N6">
        <v>6.8</v>
      </c>
      <c r="O6">
        <v>23.1</v>
      </c>
      <c r="P6">
        <v>83.62</v>
      </c>
      <c r="Q6">
        <v>97.58</v>
      </c>
      <c r="R6">
        <v>181.2</v>
      </c>
    </row>
    <row r="7" spans="1:18" x14ac:dyDescent="0.2">
      <c r="A7" t="s">
        <v>6</v>
      </c>
      <c r="B7" t="s">
        <v>11</v>
      </c>
      <c r="C7">
        <v>4.7</v>
      </c>
      <c r="D7">
        <v>6.7</v>
      </c>
      <c r="E7">
        <v>0.19</v>
      </c>
      <c r="F7">
        <v>0.1</v>
      </c>
      <c r="G7">
        <v>74</v>
      </c>
      <c r="H7">
        <v>48.33</v>
      </c>
      <c r="I7">
        <v>2.91</v>
      </c>
      <c r="J7">
        <v>2.38</v>
      </c>
      <c r="K7">
        <v>1.7749999999999999</v>
      </c>
      <c r="L7">
        <v>1.32</v>
      </c>
      <c r="M7">
        <v>17.75</v>
      </c>
      <c r="N7">
        <v>13.15</v>
      </c>
      <c r="O7">
        <v>30.9</v>
      </c>
      <c r="P7">
        <v>154.99</v>
      </c>
      <c r="Q7">
        <v>219.4</v>
      </c>
      <c r="R7">
        <v>374.4</v>
      </c>
    </row>
    <row r="8" spans="1:18" x14ac:dyDescent="0.2">
      <c r="A8" t="s">
        <v>7</v>
      </c>
      <c r="B8" t="s">
        <v>11</v>
      </c>
      <c r="C8">
        <v>4.1500000000000004</v>
      </c>
      <c r="D8">
        <v>3.6</v>
      </c>
      <c r="E8">
        <v>0.39</v>
      </c>
      <c r="F8">
        <v>0.49</v>
      </c>
      <c r="G8">
        <v>36.200000000000003</v>
      </c>
      <c r="H8">
        <v>26.35</v>
      </c>
      <c r="I8">
        <v>1.96</v>
      </c>
      <c r="J8">
        <v>1.7</v>
      </c>
      <c r="K8">
        <v>4.2949999999999999</v>
      </c>
      <c r="L8">
        <v>5.6</v>
      </c>
      <c r="M8">
        <v>42.95</v>
      </c>
      <c r="N8">
        <v>56</v>
      </c>
      <c r="O8">
        <v>98.95</v>
      </c>
      <c r="P8">
        <v>252.17</v>
      </c>
      <c r="Q8">
        <v>667.93</v>
      </c>
      <c r="R8">
        <v>920.09</v>
      </c>
    </row>
    <row r="9" spans="1:18" x14ac:dyDescent="0.2">
      <c r="A9" t="s">
        <v>8</v>
      </c>
      <c r="B9" t="s">
        <v>11</v>
      </c>
      <c r="C9">
        <v>4.8</v>
      </c>
      <c r="D9">
        <v>4.7699999999999996</v>
      </c>
      <c r="E9">
        <v>0.17</v>
      </c>
      <c r="F9">
        <v>0.18</v>
      </c>
      <c r="G9">
        <v>58.5</v>
      </c>
      <c r="H9">
        <v>50.67</v>
      </c>
      <c r="I9">
        <v>2.6</v>
      </c>
      <c r="J9">
        <v>2.4500000000000002</v>
      </c>
      <c r="K9">
        <v>1.4450000000000001</v>
      </c>
      <c r="L9">
        <v>1.2</v>
      </c>
      <c r="M9">
        <v>14.45</v>
      </c>
      <c r="N9">
        <v>12</v>
      </c>
      <c r="O9">
        <v>26.45</v>
      </c>
      <c r="P9">
        <v>112.52</v>
      </c>
      <c r="Q9">
        <v>205.58</v>
      </c>
      <c r="R9">
        <v>318.10000000000002</v>
      </c>
    </row>
    <row r="10" spans="1:18" x14ac:dyDescent="0.2">
      <c r="A10" t="s">
        <v>9</v>
      </c>
      <c r="B10" t="s">
        <v>11</v>
      </c>
      <c r="C10">
        <v>5.05</v>
      </c>
      <c r="D10">
        <v>5.67</v>
      </c>
      <c r="E10">
        <v>0.26</v>
      </c>
      <c r="F10">
        <v>0.1</v>
      </c>
      <c r="G10">
        <v>73.5</v>
      </c>
      <c r="H10">
        <v>47.67</v>
      </c>
      <c r="I10">
        <v>2.82</v>
      </c>
      <c r="J10">
        <v>2.36</v>
      </c>
      <c r="K10">
        <v>3.2549999999999999</v>
      </c>
      <c r="L10">
        <v>1.37</v>
      </c>
      <c r="M10">
        <v>32.549999999999997</v>
      </c>
      <c r="N10">
        <v>13.7</v>
      </c>
      <c r="O10">
        <v>46.25</v>
      </c>
      <c r="P10">
        <v>275.22000000000003</v>
      </c>
      <c r="Q10">
        <v>226.64</v>
      </c>
      <c r="R10">
        <v>501.87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Format</vt:lpstr>
      <vt:lpstr>Raw2</vt:lpstr>
      <vt:lpstr>MainPp</vt:lpstr>
      <vt:lpstr>MainCc</vt:lpstr>
      <vt:lpstr>Raw1</vt:lpstr>
      <vt:lpstr>Present</vt:lpstr>
      <vt:lpstr>Previous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</dc:creator>
  <cp:lastModifiedBy>Rakib H. Hridoy</cp:lastModifiedBy>
  <dcterms:created xsi:type="dcterms:W3CDTF">2025-01-28T17:31:49Z</dcterms:created>
  <dcterms:modified xsi:type="dcterms:W3CDTF">2025-08-18T06:23:50Z</dcterms:modified>
</cp:coreProperties>
</file>